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HUA\缅甸\Data_for_Manuscript\"/>
    </mc:Choice>
  </mc:AlternateContent>
  <xr:revisionPtr revIDLastSave="0" documentId="13_ncr:1_{AFC462E4-9643-4B90-9AA1-626588910E85}" xr6:coauthVersionLast="47" xr6:coauthVersionMax="47" xr10:uidLastSave="{00000000-0000-0000-0000-000000000000}"/>
  <bookViews>
    <workbookView xWindow="-108" yWindow="-108" windowWidth="30936" windowHeight="16776" tabRatio="738" activeTab="6" xr2:uid="{8E26F5B7-E03D-4F2A-BA96-5D5DDAA779AC}"/>
  </bookViews>
  <sheets>
    <sheet name="台站" sheetId="1" r:id="rId1"/>
    <sheet name="Sheet1" sheetId="4" r:id="rId2"/>
    <sheet name="AVA" sheetId="5" r:id="rId3"/>
    <sheet name="Sheet2" sheetId="6" r:id="rId4"/>
    <sheet name="跨断层线路" sheetId="7" r:id="rId5"/>
    <sheet name="各烈度区线路" sheetId="9" r:id="rId6"/>
    <sheet name="各烈度区桥梁震害分布" sheetId="10" r:id="rId7"/>
    <sheet name="桥梁类型震害统计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0" l="1"/>
  <c r="D40" i="10"/>
  <c r="D41" i="10"/>
  <c r="D38" i="10"/>
  <c r="F16" i="11" l="1"/>
  <c r="E18" i="11"/>
  <c r="D18" i="11"/>
  <c r="C18" i="11"/>
  <c r="B18" i="11"/>
  <c r="F17" i="11"/>
  <c r="F15" i="11"/>
  <c r="F14" i="11"/>
  <c r="F13" i="11"/>
  <c r="E7" i="11"/>
  <c r="D7" i="11"/>
  <c r="C7" i="11"/>
  <c r="B7" i="11"/>
  <c r="F6" i="11"/>
  <c r="F5" i="11"/>
  <c r="F4" i="11"/>
  <c r="F3" i="11"/>
  <c r="F18" i="11" l="1"/>
  <c r="F7" i="11"/>
  <c r="C17" i="10"/>
  <c r="D17" i="10"/>
  <c r="E17" i="10"/>
  <c r="B17" i="10"/>
  <c r="F14" i="10"/>
  <c r="F15" i="10"/>
  <c r="F16" i="10"/>
  <c r="F13" i="10"/>
  <c r="F17" i="10" s="1"/>
  <c r="C7" i="10"/>
  <c r="D7" i="10"/>
  <c r="E7" i="10"/>
  <c r="B7" i="10"/>
  <c r="F4" i="10"/>
  <c r="F5" i="10"/>
  <c r="F6" i="10"/>
  <c r="F3" i="10"/>
  <c r="F7" i="10" s="1"/>
  <c r="D19" i="9" l="1"/>
  <c r="D18" i="9"/>
  <c r="D17" i="9"/>
  <c r="E38" i="4" l="1"/>
  <c r="D3" i="5"/>
  <c r="D4" i="5"/>
  <c r="D5" i="5"/>
  <c r="D6" i="5"/>
  <c r="D7" i="5"/>
  <c r="D8" i="5"/>
  <c r="D9" i="5"/>
  <c r="D10" i="5"/>
  <c r="D11" i="5"/>
  <c r="D2" i="5"/>
  <c r="C18" i="5"/>
  <c r="C32" i="4" l="1"/>
  <c r="C33" i="4"/>
  <c r="C34" i="4"/>
  <c r="C35" i="4"/>
  <c r="C36" i="4"/>
  <c r="C37" i="4"/>
  <c r="C38" i="4"/>
  <c r="C39" i="4"/>
  <c r="C40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3" i="4"/>
</calcChain>
</file>

<file path=xl/sharedStrings.xml><?xml version="1.0" encoding="utf-8"?>
<sst xmlns="http://schemas.openxmlformats.org/spreadsheetml/2006/main" count="288" uniqueCount="159">
  <si>
    <t>No.</t>
    <phoneticPr fontId="1" type="noConversion"/>
  </si>
  <si>
    <t>Station Name</t>
    <phoneticPr fontId="1" type="noConversion"/>
  </si>
  <si>
    <t>Rrup(km)</t>
    <phoneticPr fontId="1" type="noConversion"/>
  </si>
  <si>
    <t>NPW</t>
    <phoneticPr fontId="1" type="noConversion"/>
  </si>
  <si>
    <t>Latitude(N)</t>
    <phoneticPr fontId="1" type="noConversion"/>
  </si>
  <si>
    <t>Longitude(E)</t>
    <phoneticPr fontId="1" type="noConversion"/>
  </si>
  <si>
    <t>NGU</t>
    <phoneticPr fontId="1" type="noConversion"/>
  </si>
  <si>
    <t>KTN</t>
    <phoneticPr fontId="1" type="noConversion"/>
  </si>
  <si>
    <t>YGN</t>
    <phoneticPr fontId="1" type="noConversion"/>
  </si>
  <si>
    <t>CHTO</t>
    <phoneticPr fontId="1" type="noConversion"/>
  </si>
  <si>
    <t>Re(km)</t>
    <phoneticPr fontId="1" type="noConversion"/>
  </si>
  <si>
    <t>Bridge Name</t>
    <phoneticPr fontId="1" type="noConversion"/>
  </si>
  <si>
    <t>Line Name</t>
    <phoneticPr fontId="1" type="noConversion"/>
  </si>
  <si>
    <t>Yangon-Mandalay Expy</t>
    <phoneticPr fontId="1" type="noConversion"/>
  </si>
  <si>
    <t>Kha Paung Bridge</t>
    <phoneticPr fontId="1" type="noConversion"/>
  </si>
  <si>
    <t>Swar Bridge</t>
    <phoneticPr fontId="1" type="noConversion"/>
  </si>
  <si>
    <t>347 Mile Bridge</t>
    <phoneticPr fontId="1" type="noConversion"/>
  </si>
  <si>
    <t>Pansay River Bridge</t>
    <phoneticPr fontId="1" type="noConversion"/>
  </si>
  <si>
    <t>Duhtawady Bridge</t>
    <phoneticPr fontId="1" type="noConversion"/>
  </si>
  <si>
    <t>Amarapura Bridge</t>
    <phoneticPr fontId="1" type="noConversion"/>
  </si>
  <si>
    <t>Ayarwaddy Bridge</t>
    <phoneticPr fontId="1" type="noConversion"/>
  </si>
  <si>
    <t>Sagaing-Ta Da U Road</t>
    <phoneticPr fontId="1" type="noConversion"/>
  </si>
  <si>
    <t>Ayarwaddy Bridge Approach Curve Bridge</t>
    <phoneticPr fontId="1" type="noConversion"/>
  </si>
  <si>
    <t>N7 Curve Brdge</t>
    <phoneticPr fontId="1" type="noConversion"/>
  </si>
  <si>
    <t>Pang Long Bridge</t>
    <phoneticPr fontId="1" type="noConversion"/>
  </si>
  <si>
    <t>Paleik-Tada U Road</t>
    <phoneticPr fontId="1" type="noConversion"/>
  </si>
  <si>
    <t>Yangon-Mandalay Rd</t>
    <phoneticPr fontId="1" type="noConversion"/>
  </si>
  <si>
    <t>Kyaukse-Chaung Gwa Rd</t>
    <phoneticPr fontId="1" type="noConversion"/>
  </si>
  <si>
    <t>NH2</t>
    <phoneticPr fontId="1" type="noConversion"/>
  </si>
  <si>
    <t>Yangon-Mandalay Line</t>
    <phoneticPr fontId="1" type="noConversion"/>
  </si>
  <si>
    <t>305 Railway Bridge</t>
    <phoneticPr fontId="1" type="noConversion"/>
  </si>
  <si>
    <t>329 Railway Bridge</t>
    <phoneticPr fontId="1" type="noConversion"/>
  </si>
  <si>
    <t>351 Railway Bridge</t>
    <phoneticPr fontId="1" type="noConversion"/>
  </si>
  <si>
    <t>Ela Bridge 373</t>
    <phoneticPr fontId="1" type="noConversion"/>
  </si>
  <si>
    <t>Ngalait River Railway Bridge 393W</t>
    <phoneticPr fontId="1" type="noConversion"/>
  </si>
  <si>
    <t>472 Railway Bridge</t>
    <phoneticPr fontId="1" type="noConversion"/>
  </si>
  <si>
    <t>683 Railway Bridge</t>
    <phoneticPr fontId="1" type="noConversion"/>
  </si>
  <si>
    <t>691 Railway Bridge</t>
    <phoneticPr fontId="1" type="noConversion"/>
  </si>
  <si>
    <t>730 Railway Bridge</t>
    <phoneticPr fontId="1" type="noConversion"/>
  </si>
  <si>
    <t>Myingyan Line</t>
    <phoneticPr fontId="1" type="noConversion"/>
  </si>
  <si>
    <t>Mandalay-Mytkyina Line</t>
    <phoneticPr fontId="1" type="noConversion"/>
  </si>
  <si>
    <t>AVA Railway Bridge</t>
    <phoneticPr fontId="1" type="noConversion"/>
  </si>
  <si>
    <t>Kalaw-Thazi Line</t>
    <phoneticPr fontId="1" type="noConversion"/>
  </si>
  <si>
    <t>739 Railway Bridge</t>
    <phoneticPr fontId="1" type="noConversion"/>
  </si>
  <si>
    <t>Yuzana Bridge</t>
    <phoneticPr fontId="1" type="noConversion"/>
  </si>
  <si>
    <t>RC</t>
    <phoneticPr fontId="1" type="noConversion"/>
  </si>
  <si>
    <t>Steel Truss</t>
    <phoneticPr fontId="1" type="noConversion"/>
  </si>
  <si>
    <t>Taungnyo Rd</t>
    <phoneticPr fontId="1" type="noConversion"/>
  </si>
  <si>
    <t>PC</t>
    <phoneticPr fontId="1" type="noConversion"/>
  </si>
  <si>
    <t>ft</t>
    <phoneticPr fontId="1" type="noConversion"/>
  </si>
  <si>
    <t>m</t>
    <phoneticPr fontId="1" type="noConversion"/>
  </si>
  <si>
    <t>南01</t>
    <phoneticPr fontId="1" type="noConversion"/>
  </si>
  <si>
    <t>实测跨径m</t>
    <phoneticPr fontId="1" type="noConversion"/>
  </si>
  <si>
    <t>南02</t>
  </si>
  <si>
    <t>南03</t>
  </si>
  <si>
    <t>南04</t>
  </si>
  <si>
    <t>南05</t>
  </si>
  <si>
    <t>南06</t>
  </si>
  <si>
    <t>南07</t>
  </si>
  <si>
    <t>南08</t>
  </si>
  <si>
    <t>南09</t>
  </si>
  <si>
    <t>南10</t>
  </si>
  <si>
    <t>B</t>
    <phoneticPr fontId="1" type="noConversion"/>
  </si>
  <si>
    <t>C</t>
    <phoneticPr fontId="1" type="noConversion"/>
  </si>
  <si>
    <t>跨径变化m</t>
    <phoneticPr fontId="1" type="noConversion"/>
  </si>
  <si>
    <t>设计跨径m</t>
    <phoneticPr fontId="1" type="noConversion"/>
  </si>
  <si>
    <t>Mandalay-Shwebo Rd (NH7)</t>
    <phoneticPr fontId="1" type="noConversion"/>
  </si>
  <si>
    <t>Mandalay-Myitkyina Line</t>
    <phoneticPr fontId="1" type="noConversion"/>
  </si>
  <si>
    <t>Yongon-Mandalay Expy</t>
    <phoneticPr fontId="1" type="noConversion"/>
  </si>
  <si>
    <t>Paleik-Sa Kar Inn-Tada U Rd</t>
    <phoneticPr fontId="1" type="noConversion"/>
  </si>
  <si>
    <t>Distance from the fault: Critical infrastructure performance</t>
    <phoneticPr fontId="1" type="noConversion"/>
  </si>
  <si>
    <t>W 57m: The road was interrupted by a steep slope. W 12.6m: A single span overpass is undamaged.</t>
    <phoneticPr fontId="1" type="noConversion"/>
  </si>
  <si>
    <t>E 308m: AVA Railway Bridge collapsed.</t>
    <phoneticPr fontId="1" type="noConversion"/>
  </si>
  <si>
    <t>W 32m: A simple span Bridge is undamaged.</t>
  </si>
  <si>
    <t>E 340m: Duhtawady Bridge collapsed. W 280m: Pansay River Bridge superstructure moved. Highway subgrade damaged.</t>
    <phoneticPr fontId="1" type="noConversion"/>
  </si>
  <si>
    <t>Paleik-Tada U Rd</t>
    <phoneticPr fontId="1" type="noConversion"/>
  </si>
  <si>
    <t>The road surface displacement has reached 1.7 m.</t>
    <phoneticPr fontId="1" type="noConversion"/>
  </si>
  <si>
    <t>W 148m: Tada U Railway Bridge is undamaged. The road surface displacement has reached 2 m.</t>
    <phoneticPr fontId="1" type="noConversion"/>
  </si>
  <si>
    <t>Highway subgrade is undamaged.</t>
    <phoneticPr fontId="1" type="noConversion"/>
  </si>
  <si>
    <t>347 Mile Bridge damaged.</t>
    <phoneticPr fontId="1" type="noConversion"/>
  </si>
  <si>
    <t>The road surface displacement has reached 2.05 m.</t>
    <phoneticPr fontId="1" type="noConversion"/>
  </si>
  <si>
    <t>The road surface displacement has reached 0.9 m.</t>
    <phoneticPr fontId="1" type="noConversion"/>
  </si>
  <si>
    <t>Yangon-Mandalay Rd (NH1)</t>
  </si>
  <si>
    <t>Yangon-Mandalay Rd (NH1)</t>
    <phoneticPr fontId="1" type="noConversion"/>
  </si>
  <si>
    <t>E 552m: Beingwe Bridge is undamaged.</t>
    <phoneticPr fontId="1" type="noConversion"/>
  </si>
  <si>
    <t>Meiktila-Taunggyi-Kengtung-Tahileik Rd (AH2)</t>
    <phoneticPr fontId="1" type="noConversion"/>
  </si>
  <si>
    <t>Railway subgrade is undamaged.</t>
    <phoneticPr fontId="1" type="noConversion"/>
  </si>
  <si>
    <t>E 129m: Hmone Na Kone Railway Bridge has no significant seismic damage.</t>
    <phoneticPr fontId="1" type="noConversion"/>
  </si>
  <si>
    <t>Highway subgrade is undamaged.</t>
  </si>
  <si>
    <t>Yaza Htarni Rd</t>
    <phoneticPr fontId="1" type="noConversion"/>
  </si>
  <si>
    <t>Fault surface dislocation value(m)</t>
    <phoneticPr fontId="1" type="noConversion"/>
  </si>
  <si>
    <t>Intersection longitude (°N)</t>
    <phoneticPr fontId="1" type="noConversion"/>
  </si>
  <si>
    <t>Intersection latitude (°E)</t>
    <phoneticPr fontId="1" type="noConversion"/>
  </si>
  <si>
    <t>Pyinmana-Taungdwingyi line</t>
    <phoneticPr fontId="1" type="noConversion"/>
  </si>
  <si>
    <t>The road surface displacement has reached 1.47 m.</t>
    <phoneticPr fontId="1" type="noConversion"/>
  </si>
  <si>
    <t>The road surface displacement has reached 1.2 m.</t>
    <phoneticPr fontId="1" type="noConversion"/>
  </si>
  <si>
    <t>Thayeton Railway Station building damaged. The surface rupture crosses the railway, causing deformation and damage to the railway subgrade and tracks.</t>
    <phoneticPr fontId="1" type="noConversion"/>
  </si>
  <si>
    <t>Yaza-Thingaha Rd</t>
    <phoneticPr fontId="1" type="noConversion"/>
  </si>
  <si>
    <t>W 116m: A simple span Bridge damaged. W 1076: Large scale road subgrade damage.</t>
    <phoneticPr fontId="1" type="noConversion"/>
  </si>
  <si>
    <t>Ygn-Mdy Expy to and from Ygn-Mdy Rd</t>
    <phoneticPr fontId="1" type="noConversion"/>
  </si>
  <si>
    <t>W 338m: Swar Bridge damaged.</t>
    <phoneticPr fontId="1" type="noConversion"/>
  </si>
  <si>
    <t>E 172m: A simple span Bridge is undamaged; E491m: Phyu Reek Bridge s undamaged.</t>
    <phoneticPr fontId="1" type="noConversion"/>
  </si>
  <si>
    <t>Total</t>
    <phoneticPr fontId="1" type="noConversion"/>
  </si>
  <si>
    <t>Intensity</t>
  </si>
  <si>
    <t>Length(km)</t>
    <phoneticPr fontId="1" type="noConversion"/>
  </si>
  <si>
    <t>Bridge Number</t>
    <phoneticPr fontId="1" type="noConversion"/>
  </si>
  <si>
    <t>Sagaing-Madalay Rd</t>
    <phoneticPr fontId="1" type="noConversion"/>
  </si>
  <si>
    <t>Myitngeal-Sagaing Rd</t>
    <phoneticPr fontId="1" type="noConversion"/>
  </si>
  <si>
    <t>84th Street</t>
    <phoneticPr fontId="1" type="noConversion"/>
  </si>
  <si>
    <t>Sagaing-Tada U Rd</t>
    <phoneticPr fontId="1" type="noConversion"/>
  </si>
  <si>
    <t>Mandalay Town Inside Road</t>
    <phoneticPr fontId="1" type="noConversion"/>
  </si>
  <si>
    <t>Mandalay-Lashio Line</t>
    <phoneticPr fontId="1" type="noConversion"/>
  </si>
  <si>
    <t>Yongon-Mandalay Rd</t>
    <phoneticPr fontId="1" type="noConversion"/>
  </si>
  <si>
    <t>Tada-U-Chaung Gwa Rd</t>
    <phoneticPr fontId="1" type="noConversion"/>
  </si>
  <si>
    <t>Natmauk-Pyawbwe Rd</t>
    <phoneticPr fontId="1" type="noConversion"/>
  </si>
  <si>
    <t>Yamethin-Thazi Rd</t>
    <phoneticPr fontId="1" type="noConversion"/>
  </si>
  <si>
    <t>Tatkon Expy</t>
    <phoneticPr fontId="1" type="noConversion"/>
  </si>
  <si>
    <t>Poke Ba Thi Ri Circular Rd</t>
    <phoneticPr fontId="1" type="noConversion"/>
  </si>
  <si>
    <t>Mandalay Circular Line</t>
    <phoneticPr fontId="1" type="noConversion"/>
  </si>
  <si>
    <t>Yarza Thingaha Rd</t>
    <phoneticPr fontId="1" type="noConversion"/>
  </si>
  <si>
    <t>Mandalay-Madaya Rd</t>
    <phoneticPr fontId="1" type="noConversion"/>
  </si>
  <si>
    <t>AH14</t>
    <phoneticPr fontId="1" type="noConversion"/>
  </si>
  <si>
    <t>Htone Bo Phyat Lan Rd</t>
    <phoneticPr fontId="1" type="noConversion"/>
  </si>
  <si>
    <t>D: Collapse</t>
    <phoneticPr fontId="1" type="noConversion"/>
  </si>
  <si>
    <r>
      <rPr>
        <sz val="11"/>
        <color theme="1"/>
        <rFont val="等线"/>
        <family val="2"/>
        <charset val="134"/>
      </rPr>
      <t>公路桥</t>
    </r>
    <phoneticPr fontId="1" type="noConversion"/>
  </si>
  <si>
    <r>
      <rPr>
        <sz val="11"/>
        <color theme="1"/>
        <rFont val="等线"/>
        <family val="2"/>
        <charset val="134"/>
      </rPr>
      <t>铁路桥</t>
    </r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</si>
  <si>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</si>
  <si>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</si>
  <si>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</si>
  <si>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</si>
  <si>
    <t>Highway Bridge Number</t>
    <phoneticPr fontId="1" type="noConversion"/>
  </si>
  <si>
    <t>Railway Bridge Number</t>
    <phoneticPr fontId="1" type="noConversion"/>
  </si>
  <si>
    <t xml:space="preserve"> Intensity area</t>
    <phoneticPr fontId="1" type="noConversion"/>
  </si>
  <si>
    <t xml:space="preserve">VII </t>
    <phoneticPr fontId="1" type="noConversion"/>
  </si>
  <si>
    <t xml:space="preserve">VIII </t>
    <phoneticPr fontId="1" type="noConversion"/>
  </si>
  <si>
    <t xml:space="preserve">IX </t>
    <phoneticPr fontId="1" type="noConversion"/>
  </si>
  <si>
    <r>
      <t>6</t>
    </r>
    <r>
      <rPr>
        <sz val="11"/>
        <color theme="1"/>
        <rFont val="宋体"/>
        <family val="3"/>
        <charset val="134"/>
      </rPr>
      <t>度</t>
    </r>
    <phoneticPr fontId="1" type="noConversion"/>
  </si>
  <si>
    <r>
      <t>7度</t>
    </r>
    <r>
      <rPr>
        <sz val="11"/>
        <color theme="1"/>
        <rFont val="宋体"/>
        <family val="3"/>
        <charset val="134"/>
      </rPr>
      <t/>
    </r>
  </si>
  <si>
    <r>
      <t>8度</t>
    </r>
    <r>
      <rPr>
        <sz val="11"/>
        <color theme="1"/>
        <rFont val="宋体"/>
        <family val="3"/>
        <charset val="134"/>
      </rPr>
      <t/>
    </r>
  </si>
  <si>
    <r>
      <t>9度</t>
    </r>
    <r>
      <rPr>
        <sz val="11"/>
        <color theme="1"/>
        <rFont val="宋体"/>
        <family val="3"/>
        <charset val="134"/>
      </rPr>
      <t/>
    </r>
  </si>
  <si>
    <t>垮塌</t>
    <phoneticPr fontId="1" type="noConversion"/>
  </si>
  <si>
    <t>严重破坏</t>
    <phoneticPr fontId="1" type="noConversion"/>
  </si>
  <si>
    <t>中等破坏</t>
    <phoneticPr fontId="1" type="noConversion"/>
  </si>
  <si>
    <t>A: Basically intact or Minor damage</t>
    <phoneticPr fontId="1" type="noConversion"/>
  </si>
  <si>
    <t>B: Moderate damage</t>
    <phoneticPr fontId="1" type="noConversion"/>
  </si>
  <si>
    <t>C: Severe damage</t>
  </si>
  <si>
    <t>基本完好或轻微破坏</t>
    <phoneticPr fontId="1" type="noConversion"/>
  </si>
  <si>
    <t>Bridge Type</t>
    <phoneticPr fontId="1" type="noConversion"/>
  </si>
  <si>
    <t>Steel + RC slab</t>
    <phoneticPr fontId="1" type="noConversion"/>
  </si>
  <si>
    <t>Steel Through PL</t>
    <phoneticPr fontId="1" type="noConversion"/>
  </si>
  <si>
    <t>Steel Deck PL</t>
    <phoneticPr fontId="1" type="noConversion"/>
  </si>
  <si>
    <t>PC/PC+RC</t>
    <phoneticPr fontId="1" type="noConversion"/>
  </si>
  <si>
    <t>Steel  Truss/Arch</t>
    <phoneticPr fontId="1" type="noConversion"/>
  </si>
  <si>
    <t>公路桥</t>
    <phoneticPr fontId="1" type="noConversion"/>
  </si>
  <si>
    <t>铁路桥</t>
    <phoneticPr fontId="1" type="noConversion"/>
  </si>
  <si>
    <t>A</t>
    <phoneticPr fontId="1" type="noConversion"/>
  </si>
  <si>
    <t>D</t>
    <phoneticPr fontId="1" type="noConversion"/>
  </si>
  <si>
    <t>桥梁</t>
  </si>
  <si>
    <t>桥梁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</si>
</sst>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公路桥梁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各烈度区桥梁震害分布!$A$26</c:f>
              <c:strCache>
                <c:ptCount val="1"/>
                <c:pt idx="0">
                  <c:v>基本完好或轻微破坏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各烈度区桥梁震害分布!$B$26:$E$26</c:f>
              <c:numCache>
                <c:formatCode>General</c:formatCode>
                <c:ptCount val="4"/>
                <c:pt idx="0">
                  <c:v>1376</c:v>
                </c:pt>
                <c:pt idx="1">
                  <c:v>1171</c:v>
                </c:pt>
                <c:pt idx="2">
                  <c:v>973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6-4F67-8063-4D70BA014BE5}"/>
            </c:ext>
          </c:extLst>
        </c:ser>
        <c:ser>
          <c:idx val="1"/>
          <c:order val="1"/>
          <c:tx>
            <c:strRef>
              <c:f>各烈度区桥梁震害分布!$A$27</c:f>
              <c:strCache>
                <c:ptCount val="1"/>
                <c:pt idx="0">
                  <c:v>中等破坏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各烈度区桥梁震害分布!$B$27:$E$27</c:f>
              <c:numCache>
                <c:formatCode>General</c:formatCode>
                <c:ptCount val="4"/>
                <c:pt idx="0">
                  <c:v>29</c:v>
                </c:pt>
                <c:pt idx="1">
                  <c:v>14</c:v>
                </c:pt>
                <c:pt idx="2">
                  <c:v>24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6-4F67-8063-4D70BA014BE5}"/>
            </c:ext>
          </c:extLst>
        </c:ser>
        <c:ser>
          <c:idx val="2"/>
          <c:order val="2"/>
          <c:tx>
            <c:strRef>
              <c:f>各烈度区桥梁震害分布!$A$28</c:f>
              <c:strCache>
                <c:ptCount val="1"/>
                <c:pt idx="0">
                  <c:v>严重破坏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各烈度区桥梁震害分布!$B$28:$E$28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6-4F67-8063-4D70BA014BE5}"/>
            </c:ext>
          </c:extLst>
        </c:ser>
        <c:ser>
          <c:idx val="3"/>
          <c:order val="3"/>
          <c:tx>
            <c:strRef>
              <c:f>各烈度区桥梁震害分布!$A$29</c:f>
              <c:strCache>
                <c:ptCount val="1"/>
                <c:pt idx="0">
                  <c:v>垮塌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各烈度区桥梁震害分布!$B$29:$E$29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76-4F67-8063-4D70BA01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0532496"/>
        <c:axId val="269065456"/>
        <c:axId val="0"/>
      </c:bar3DChart>
      <c:catAx>
        <c:axId val="60053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烈度区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065456"/>
        <c:crosses val="autoZero"/>
        <c:auto val="1"/>
        <c:lblAlgn val="ctr"/>
        <c:lblOffset val="100"/>
        <c:noMultiLvlLbl val="0"/>
      </c:catAx>
      <c:valAx>
        <c:axId val="269065456"/>
        <c:scaling>
          <c:orientation val="minMax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5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铁路桥梁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各烈度区桥梁震害分布!$A$32</c:f>
              <c:strCache>
                <c:ptCount val="1"/>
                <c:pt idx="0">
                  <c:v>基本完好或轻微破坏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各烈度区桥梁震害分布!$B$32:$E$32</c:f>
              <c:numCache>
                <c:formatCode>General</c:formatCode>
                <c:ptCount val="4"/>
                <c:pt idx="0">
                  <c:v>162</c:v>
                </c:pt>
                <c:pt idx="1">
                  <c:v>64</c:v>
                </c:pt>
                <c:pt idx="2">
                  <c:v>41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A-44FD-B3B0-7995CF1B0657}"/>
            </c:ext>
          </c:extLst>
        </c:ser>
        <c:ser>
          <c:idx val="1"/>
          <c:order val="1"/>
          <c:tx>
            <c:strRef>
              <c:f>各烈度区桥梁震害分布!$A$33</c:f>
              <c:strCache>
                <c:ptCount val="1"/>
                <c:pt idx="0">
                  <c:v>中等破坏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各烈度区桥梁震害分布!$B$33:$E$33</c:f>
              <c:numCache>
                <c:formatCode>General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20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A-44FD-B3B0-7995CF1B0657}"/>
            </c:ext>
          </c:extLst>
        </c:ser>
        <c:ser>
          <c:idx val="2"/>
          <c:order val="2"/>
          <c:tx>
            <c:strRef>
              <c:f>各烈度区桥梁震害分布!$A$34</c:f>
              <c:strCache>
                <c:ptCount val="1"/>
                <c:pt idx="0">
                  <c:v>严重破坏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各烈度区桥梁震害分布!$B$34:$E$34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A-44FD-B3B0-7995CF1B0657}"/>
            </c:ext>
          </c:extLst>
        </c:ser>
        <c:ser>
          <c:idx val="3"/>
          <c:order val="3"/>
          <c:tx>
            <c:strRef>
              <c:f>各烈度区桥梁震害分布!$A$35</c:f>
              <c:strCache>
                <c:ptCount val="1"/>
                <c:pt idx="0">
                  <c:v>垮塌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各烈度区桥梁震害分布!$B$35:$E$35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6A-44FD-B3B0-7995CF1B0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3716448"/>
        <c:axId val="512105376"/>
        <c:axId val="0"/>
      </c:bar3DChart>
      <c:catAx>
        <c:axId val="72371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烈度区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2105376"/>
        <c:crosses val="autoZero"/>
        <c:auto val="1"/>
        <c:lblAlgn val="ctr"/>
        <c:lblOffset val="100"/>
        <c:noMultiLvlLbl val="0"/>
      </c:catAx>
      <c:valAx>
        <c:axId val="51210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71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桥梁震害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各烈度区桥梁震害分布!$B$37</c:f>
              <c:strCache>
                <c:ptCount val="1"/>
                <c:pt idx="0">
                  <c:v>公路桥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各烈度区桥梁震害分布!$A$38:$A$41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各烈度区桥梁震害分布!$B$38:$B$41</c:f>
              <c:numCache>
                <c:formatCode>General</c:formatCode>
                <c:ptCount val="4"/>
                <c:pt idx="0">
                  <c:v>3574</c:v>
                </c:pt>
                <c:pt idx="1">
                  <c:v>71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9-4EF8-9DAE-A02BFF1A3673}"/>
            </c:ext>
          </c:extLst>
        </c:ser>
        <c:ser>
          <c:idx val="1"/>
          <c:order val="1"/>
          <c:tx>
            <c:strRef>
              <c:f>各烈度区桥梁震害分布!$C$37</c:f>
              <c:strCache>
                <c:ptCount val="1"/>
                <c:pt idx="0">
                  <c:v>铁路桥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各烈度区桥梁震害分布!$A$38:$A$41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各烈度区桥梁震害分布!$C$38:$C$41</c:f>
              <c:numCache>
                <c:formatCode>General</c:formatCode>
                <c:ptCount val="4"/>
                <c:pt idx="0">
                  <c:v>269</c:v>
                </c:pt>
                <c:pt idx="1">
                  <c:v>45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9-4EF8-9DAE-A02BFF1A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3856208"/>
        <c:axId val="277999744"/>
        <c:axId val="0"/>
      </c:bar3DChart>
      <c:catAx>
        <c:axId val="59385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破坏程度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7999744"/>
        <c:crosses val="autoZero"/>
        <c:auto val="1"/>
        <c:lblAlgn val="ctr"/>
        <c:lblOffset val="100"/>
        <c:noMultiLvlLbl val="0"/>
      </c:catAx>
      <c:valAx>
        <c:axId val="2779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8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公路桥梁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桥梁类型震害统计!$A$24</c:f>
              <c:strCache>
                <c:ptCount val="1"/>
                <c:pt idx="0">
                  <c:v>基本完好或轻微破坏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桥梁类型震害统计!$B$24:$E$24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0</c:v>
                </c:pt>
                <c:pt idx="3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8-4E75-8993-948CCA11EACD}"/>
            </c:ext>
          </c:extLst>
        </c:ser>
        <c:ser>
          <c:idx val="1"/>
          <c:order val="1"/>
          <c:tx>
            <c:strRef>
              <c:f>桥梁类型震害统计!$A$25</c:f>
              <c:strCache>
                <c:ptCount val="1"/>
                <c:pt idx="0">
                  <c:v>中等破坏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桥梁类型震害统计!$B$25:$E$25</c:f>
              <c:numCache>
                <c:formatCode>General</c:formatCode>
                <c:ptCount val="4"/>
                <c:pt idx="0">
                  <c:v>1</c:v>
                </c:pt>
                <c:pt idx="1">
                  <c:v>21</c:v>
                </c:pt>
                <c:pt idx="2">
                  <c:v>3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8-4E75-8993-948CCA11EACD}"/>
            </c:ext>
          </c:extLst>
        </c:ser>
        <c:ser>
          <c:idx val="2"/>
          <c:order val="2"/>
          <c:tx>
            <c:strRef>
              <c:f>桥梁类型震害统计!$A$26</c:f>
              <c:strCache>
                <c:ptCount val="1"/>
                <c:pt idx="0">
                  <c:v>严重破坏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桥梁类型震害统计!$B$26:$E$26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8-4E75-8993-948CCA11EACD}"/>
            </c:ext>
          </c:extLst>
        </c:ser>
        <c:ser>
          <c:idx val="3"/>
          <c:order val="3"/>
          <c:tx>
            <c:strRef>
              <c:f>桥梁类型震害统计!$A$27</c:f>
              <c:strCache>
                <c:ptCount val="1"/>
                <c:pt idx="0">
                  <c:v>垮塌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桥梁类型震害统计!$B$27:$E$27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8-4E75-8993-948CCA11E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4304112"/>
        <c:axId val="514767424"/>
        <c:axId val="0"/>
      </c:bar3DChart>
      <c:catAx>
        <c:axId val="62430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桥梁主梁形式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767424"/>
        <c:crosses val="autoZero"/>
        <c:auto val="1"/>
        <c:lblAlgn val="ctr"/>
        <c:lblOffset val="100"/>
        <c:noMultiLvlLbl val="0"/>
      </c:catAx>
      <c:valAx>
        <c:axId val="5147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震害比例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30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铁路桥梁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桥梁类型震害统计!$A$31</c:f>
              <c:strCache>
                <c:ptCount val="1"/>
                <c:pt idx="0">
                  <c:v>基本完好或轻微破坏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桥梁类型震害统计!$B$31:$F$31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249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A-41F7-9AA5-6BD00BC1DDDD}"/>
            </c:ext>
          </c:extLst>
        </c:ser>
        <c:ser>
          <c:idx val="1"/>
          <c:order val="1"/>
          <c:tx>
            <c:strRef>
              <c:f>桥梁类型震害统计!$A$32</c:f>
              <c:strCache>
                <c:ptCount val="1"/>
                <c:pt idx="0">
                  <c:v>中等破坏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桥梁类型震害统计!$B$32:$F$32</c:f>
              <c:numCache>
                <c:formatCode>General</c:formatCode>
                <c:ptCount val="5"/>
                <c:pt idx="0">
                  <c:v>16</c:v>
                </c:pt>
                <c:pt idx="1">
                  <c:v>1</c:v>
                </c:pt>
                <c:pt idx="2">
                  <c:v>10</c:v>
                </c:pt>
                <c:pt idx="3">
                  <c:v>2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A-41F7-9AA5-6BD00BC1DDDD}"/>
            </c:ext>
          </c:extLst>
        </c:ser>
        <c:ser>
          <c:idx val="2"/>
          <c:order val="2"/>
          <c:tx>
            <c:strRef>
              <c:f>桥梁类型震害统计!$A$33</c:f>
              <c:strCache>
                <c:ptCount val="1"/>
                <c:pt idx="0">
                  <c:v>严重破坏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桥梁类型震害统计!$B$33:$F$33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A-41F7-9AA5-6BD00BC1DDDD}"/>
            </c:ext>
          </c:extLst>
        </c:ser>
        <c:ser>
          <c:idx val="3"/>
          <c:order val="3"/>
          <c:tx>
            <c:strRef>
              <c:f>桥梁类型震害统计!$A$34</c:f>
              <c:strCache>
                <c:ptCount val="1"/>
                <c:pt idx="0">
                  <c:v>垮塌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桥梁类型震害统计!$B$30:$F$30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桥梁类型震害统计!$B$34:$F$34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0A-41F7-9AA5-6BD00BC1D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4248064"/>
        <c:axId val="514865600"/>
        <c:axId val="0"/>
      </c:bar3DChart>
      <c:catAx>
        <c:axId val="71424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桥梁主梁形式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865600"/>
        <c:crosses val="autoZero"/>
        <c:auto val="1"/>
        <c:lblAlgn val="ctr"/>
        <c:lblOffset val="100"/>
        <c:noMultiLvlLbl val="0"/>
      </c:catAx>
      <c:valAx>
        <c:axId val="51486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震害比例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24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671512</xdr:colOff>
      <xdr:row>7</xdr:row>
      <xdr:rowOff>4762</xdr:rowOff>
    </xdr:from>
    <xdr:to>
      <xdr:col>13</xdr:col>
      <xdr:colOff>442912</xdr:colOff>
      <xdr:row>21</xdr:row>
      <xdr:rowOff>80962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CDB4A9F-E32C-4C35-AA19-6095C56B0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671512</xdr:colOff>
      <xdr:row>22</xdr:row>
      <xdr:rowOff>4762</xdr:rowOff>
    </xdr:from>
    <xdr:to>
      <xdr:col>13</xdr:col>
      <xdr:colOff>442912</xdr:colOff>
      <xdr:row>36</xdr:row>
      <xdr:rowOff>80962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AB41EF-E9A3-42D1-92F8-2336C873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661987</xdr:colOff>
      <xdr:row>21</xdr:row>
      <xdr:rowOff>166687</xdr:rowOff>
    </xdr:from>
    <xdr:to>
      <xdr:col>21</xdr:col>
      <xdr:colOff>433387</xdr:colOff>
      <xdr:row>36</xdr:row>
      <xdr:rowOff>52387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B091A44-C1DD-43C6-B002-AD01453F8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9</xdr:row>
      <xdr:rowOff>14287</xdr:rowOff>
    </xdr:from>
    <xdr:to>
      <xdr:col>14</xdr:col>
      <xdr:colOff>461962</xdr:colOff>
      <xdr:row>21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E3EF478-FC34-4BE5-8C85-96BA01AD9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681037</xdr:colOff>
      <xdr:row>23</xdr:row>
      <xdr:rowOff>14287</xdr:rowOff>
    </xdr:from>
    <xdr:to>
      <xdr:col>14</xdr:col>
      <xdr:colOff>452437</xdr:colOff>
      <xdr:row>36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B1BA998-D1D1-4BB3-8C9F-7B0D7E2B1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A0D2-3709-43CA-AA25-AD3F61A21B89}">
  <dimension ref="A1:F6"/>
  <sheetViews>
    <sheetView workbookViewId="0">
      <selection activeCell="F19" sqref="F19"/>
    </sheetView>
  </sheetViews>
  <sheetFormatPr defaultRowHeight="13.8" x14ac:dyDescent="0.25"/>
  <cols>
    <col min="1" max="1" width="4.33203125" bestFit="1" customWidth="1"/>
    <col min="2" max="2" width="13" bestFit="1" customWidth="1"/>
    <col min="3" max="3" width="10.44140625" bestFit="1" customWidth="1"/>
    <col min="4" max="4" width="11.886718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10</v>
      </c>
    </row>
    <row r="2" spans="1:6" x14ac:dyDescent="0.25">
      <c r="A2">
        <v>1</v>
      </c>
      <c r="B2" t="s">
        <v>3</v>
      </c>
      <c r="C2">
        <v>19.779</v>
      </c>
      <c r="D2">
        <v>96.138000000000005</v>
      </c>
      <c r="E2">
        <v>2.75</v>
      </c>
      <c r="F2">
        <v>248.4</v>
      </c>
    </row>
    <row r="3" spans="1:6" x14ac:dyDescent="0.25">
      <c r="A3">
        <v>2</v>
      </c>
      <c r="B3" t="s">
        <v>6</v>
      </c>
      <c r="C3">
        <v>21.206</v>
      </c>
      <c r="D3">
        <v>94.917000000000002</v>
      </c>
      <c r="E3">
        <v>113.95</v>
      </c>
      <c r="F3">
        <v>137.19999999999999</v>
      </c>
    </row>
    <row r="4" spans="1:6" x14ac:dyDescent="0.25">
      <c r="A4">
        <v>3</v>
      </c>
      <c r="B4" t="s">
        <v>8</v>
      </c>
      <c r="C4">
        <v>16.864999999999998</v>
      </c>
      <c r="D4">
        <v>96.153000000000006</v>
      </c>
      <c r="E4">
        <v>157.13999999999999</v>
      </c>
      <c r="F4">
        <v>570.4</v>
      </c>
    </row>
    <row r="5" spans="1:6" x14ac:dyDescent="0.25">
      <c r="A5">
        <v>4</v>
      </c>
      <c r="B5" t="s">
        <v>7</v>
      </c>
      <c r="C5">
        <v>21.286000000000001</v>
      </c>
      <c r="D5">
        <v>99.59</v>
      </c>
      <c r="E5">
        <v>370.59</v>
      </c>
      <c r="F5">
        <v>388.2</v>
      </c>
    </row>
    <row r="6" spans="1:6" x14ac:dyDescent="0.25">
      <c r="A6">
        <v>5</v>
      </c>
      <c r="B6" t="s">
        <v>9</v>
      </c>
      <c r="C6">
        <v>18.814</v>
      </c>
      <c r="D6">
        <v>98.944000000000003</v>
      </c>
      <c r="E6">
        <v>272.22000000000003</v>
      </c>
      <c r="F6">
        <v>474.3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549-99B5-4B82-B0CF-5C26F3D47D9C}">
  <dimension ref="A1:G40"/>
  <sheetViews>
    <sheetView workbookViewId="0">
      <selection activeCell="C10" sqref="C10"/>
    </sheetView>
  </sheetViews>
  <sheetFormatPr defaultRowHeight="13.8" x14ac:dyDescent="0.25"/>
  <cols>
    <col min="3" max="3" width="7.44140625" bestFit="1" customWidth="1"/>
    <col min="4" max="5" width="7.44140625" customWidth="1"/>
    <col min="7" max="7" width="10.44140625" bestFit="1" customWidth="1"/>
  </cols>
  <sheetData>
    <row r="1" spans="1:7" x14ac:dyDescent="0.25">
      <c r="A1" t="s">
        <v>0</v>
      </c>
      <c r="B1" t="s">
        <v>49</v>
      </c>
      <c r="C1" t="s">
        <v>50</v>
      </c>
      <c r="E1" t="s">
        <v>0</v>
      </c>
      <c r="F1" t="s">
        <v>50</v>
      </c>
      <c r="G1" t="s">
        <v>49</v>
      </c>
    </row>
    <row r="2" spans="1:7" x14ac:dyDescent="0.25">
      <c r="A2">
        <v>1</v>
      </c>
      <c r="B2" s="8">
        <v>1</v>
      </c>
      <c r="C2" s="8">
        <v>0.30479999953670001</v>
      </c>
      <c r="F2" s="8">
        <v>1</v>
      </c>
      <c r="G2" s="8">
        <v>3.2808399000000001</v>
      </c>
    </row>
    <row r="3" spans="1:7" x14ac:dyDescent="0.25">
      <c r="A3">
        <v>2</v>
      </c>
      <c r="B3">
        <v>240</v>
      </c>
      <c r="C3">
        <f>B3*0.3048</f>
        <v>73.152000000000001</v>
      </c>
      <c r="F3">
        <v>16.399999999999999</v>
      </c>
      <c r="G3">
        <f>F3*3.2808399</f>
        <v>53.805774360000001</v>
      </c>
    </row>
    <row r="4" spans="1:7" x14ac:dyDescent="0.25">
      <c r="A4">
        <v>3</v>
      </c>
      <c r="B4">
        <v>51</v>
      </c>
      <c r="C4">
        <f t="shared" ref="C4:C40" si="0">B4*0.3048</f>
        <v>15.5448</v>
      </c>
      <c r="F4">
        <v>28.96</v>
      </c>
      <c r="G4">
        <f t="shared" ref="G4:G18" si="1">F4*3.2808399</f>
        <v>95.013123504000006</v>
      </c>
    </row>
    <row r="5" spans="1:7" x14ac:dyDescent="0.25">
      <c r="A5">
        <v>4</v>
      </c>
      <c r="B5">
        <v>300</v>
      </c>
      <c r="C5">
        <f t="shared" si="0"/>
        <v>91.44</v>
      </c>
      <c r="F5">
        <v>23.6</v>
      </c>
      <c r="G5">
        <f t="shared" si="1"/>
        <v>77.427821640000005</v>
      </c>
    </row>
    <row r="6" spans="1:7" x14ac:dyDescent="0.25">
      <c r="A6">
        <v>5</v>
      </c>
      <c r="B6">
        <v>88</v>
      </c>
      <c r="C6">
        <f t="shared" si="0"/>
        <v>26.822400000000002</v>
      </c>
      <c r="F6">
        <v>16</v>
      </c>
      <c r="G6">
        <f t="shared" si="1"/>
        <v>52.493438400000002</v>
      </c>
    </row>
    <row r="7" spans="1:7" x14ac:dyDescent="0.25">
      <c r="A7">
        <v>6</v>
      </c>
      <c r="B7">
        <v>700</v>
      </c>
      <c r="C7">
        <f t="shared" si="0"/>
        <v>213.36</v>
      </c>
      <c r="F7">
        <v>29</v>
      </c>
      <c r="G7">
        <f t="shared" si="1"/>
        <v>95.144357100000008</v>
      </c>
    </row>
    <row r="8" spans="1:7" x14ac:dyDescent="0.25">
      <c r="A8">
        <v>7</v>
      </c>
      <c r="B8">
        <v>84</v>
      </c>
      <c r="C8">
        <f t="shared" si="0"/>
        <v>25.603200000000001</v>
      </c>
      <c r="F8">
        <v>47.1</v>
      </c>
      <c r="G8">
        <f t="shared" si="1"/>
        <v>154.52755929</v>
      </c>
    </row>
    <row r="9" spans="1:7" x14ac:dyDescent="0.25">
      <c r="A9">
        <v>8</v>
      </c>
      <c r="B9">
        <v>34</v>
      </c>
      <c r="C9">
        <f t="shared" si="0"/>
        <v>10.363200000000001</v>
      </c>
      <c r="F9">
        <v>81.459999999999994</v>
      </c>
      <c r="G9">
        <f t="shared" si="1"/>
        <v>267.25721825400001</v>
      </c>
    </row>
    <row r="10" spans="1:7" x14ac:dyDescent="0.25">
      <c r="A10">
        <v>9</v>
      </c>
      <c r="B10">
        <v>210</v>
      </c>
      <c r="C10">
        <f t="shared" si="0"/>
        <v>64.00800000000001</v>
      </c>
      <c r="F10">
        <v>15.6</v>
      </c>
      <c r="G10">
        <f t="shared" si="1"/>
        <v>51.181102440000004</v>
      </c>
    </row>
    <row r="11" spans="1:7" x14ac:dyDescent="0.25">
      <c r="A11">
        <v>10</v>
      </c>
      <c r="B11">
        <v>77</v>
      </c>
      <c r="C11">
        <f t="shared" si="0"/>
        <v>23.4696</v>
      </c>
      <c r="F11">
        <v>9</v>
      </c>
      <c r="G11">
        <f t="shared" si="1"/>
        <v>29.527559100000001</v>
      </c>
    </row>
    <row r="12" spans="1:7" x14ac:dyDescent="0.25">
      <c r="A12">
        <v>11</v>
      </c>
      <c r="B12">
        <v>24</v>
      </c>
      <c r="C12">
        <f t="shared" si="0"/>
        <v>7.3152000000000008</v>
      </c>
      <c r="F12">
        <v>10</v>
      </c>
      <c r="G12">
        <f t="shared" si="1"/>
        <v>32.808399000000001</v>
      </c>
    </row>
    <row r="13" spans="1:7" x14ac:dyDescent="0.25">
      <c r="A13">
        <v>12</v>
      </c>
      <c r="B13">
        <v>360</v>
      </c>
      <c r="C13">
        <f t="shared" si="0"/>
        <v>109.72800000000001</v>
      </c>
      <c r="F13">
        <v>11</v>
      </c>
      <c r="G13">
        <f t="shared" si="1"/>
        <v>36.089238899999998</v>
      </c>
    </row>
    <row r="14" spans="1:7" x14ac:dyDescent="0.25">
      <c r="A14">
        <v>13</v>
      </c>
      <c r="B14">
        <v>34</v>
      </c>
      <c r="C14">
        <f t="shared" si="0"/>
        <v>10.363200000000001</v>
      </c>
      <c r="F14">
        <v>12</v>
      </c>
      <c r="G14">
        <f t="shared" si="1"/>
        <v>39.370078800000002</v>
      </c>
    </row>
    <row r="15" spans="1:7" x14ac:dyDescent="0.25">
      <c r="A15">
        <v>14</v>
      </c>
      <c r="B15">
        <v>400</v>
      </c>
      <c r="C15">
        <f t="shared" si="0"/>
        <v>121.92</v>
      </c>
      <c r="F15">
        <v>13</v>
      </c>
      <c r="G15">
        <f t="shared" si="1"/>
        <v>42.650918700000005</v>
      </c>
    </row>
    <row r="16" spans="1:7" x14ac:dyDescent="0.25">
      <c r="A16">
        <v>15</v>
      </c>
      <c r="B16">
        <v>30</v>
      </c>
      <c r="C16">
        <f t="shared" si="0"/>
        <v>9.1440000000000001</v>
      </c>
      <c r="F16">
        <v>14</v>
      </c>
      <c r="G16">
        <f t="shared" si="1"/>
        <v>45.931758600000002</v>
      </c>
    </row>
    <row r="17" spans="1:7" x14ac:dyDescent="0.25">
      <c r="A17">
        <v>16</v>
      </c>
      <c r="B17">
        <v>32</v>
      </c>
      <c r="C17">
        <f t="shared" si="0"/>
        <v>9.7536000000000005</v>
      </c>
      <c r="F17">
        <v>15</v>
      </c>
      <c r="G17">
        <f t="shared" si="1"/>
        <v>49.212598499999999</v>
      </c>
    </row>
    <row r="18" spans="1:7" x14ac:dyDescent="0.25">
      <c r="A18">
        <v>17</v>
      </c>
      <c r="B18">
        <v>840</v>
      </c>
      <c r="C18">
        <f t="shared" si="0"/>
        <v>256.03200000000004</v>
      </c>
      <c r="F18">
        <v>16</v>
      </c>
      <c r="G18">
        <f t="shared" si="1"/>
        <v>52.493438400000002</v>
      </c>
    </row>
    <row r="19" spans="1:7" x14ac:dyDescent="0.25">
      <c r="A19">
        <v>17</v>
      </c>
      <c r="B19">
        <v>80</v>
      </c>
      <c r="C19">
        <f t="shared" si="0"/>
        <v>24.384</v>
      </c>
    </row>
    <row r="20" spans="1:7" x14ac:dyDescent="0.25">
      <c r="A20">
        <v>17</v>
      </c>
      <c r="B20">
        <v>240</v>
      </c>
      <c r="C20">
        <f t="shared" si="0"/>
        <v>73.152000000000001</v>
      </c>
    </row>
    <row r="21" spans="1:7" x14ac:dyDescent="0.25">
      <c r="A21">
        <v>17</v>
      </c>
      <c r="B21">
        <v>30</v>
      </c>
      <c r="C21">
        <f t="shared" si="0"/>
        <v>9.1440000000000001</v>
      </c>
    </row>
    <row r="22" spans="1:7" x14ac:dyDescent="0.25">
      <c r="A22">
        <v>17</v>
      </c>
      <c r="B22">
        <v>200</v>
      </c>
      <c r="C22">
        <f t="shared" si="0"/>
        <v>60.96</v>
      </c>
    </row>
    <row r="23" spans="1:7" x14ac:dyDescent="0.25">
      <c r="A23">
        <v>17</v>
      </c>
      <c r="B23">
        <v>612</v>
      </c>
      <c r="C23">
        <f t="shared" si="0"/>
        <v>186.5376</v>
      </c>
    </row>
    <row r="24" spans="1:7" x14ac:dyDescent="0.25">
      <c r="A24">
        <v>17</v>
      </c>
      <c r="B24">
        <v>34</v>
      </c>
      <c r="C24">
        <f t="shared" si="0"/>
        <v>10.363200000000001</v>
      </c>
    </row>
    <row r="25" spans="1:7" x14ac:dyDescent="0.25">
      <c r="A25">
        <v>17</v>
      </c>
      <c r="B25">
        <v>180</v>
      </c>
      <c r="C25">
        <f t="shared" si="0"/>
        <v>54.864000000000004</v>
      </c>
    </row>
    <row r="26" spans="1:7" x14ac:dyDescent="0.25">
      <c r="A26">
        <v>17</v>
      </c>
      <c r="B26">
        <v>58</v>
      </c>
      <c r="C26">
        <f t="shared" si="0"/>
        <v>17.6784</v>
      </c>
    </row>
    <row r="27" spans="1:7" x14ac:dyDescent="0.25">
      <c r="A27">
        <v>17</v>
      </c>
      <c r="B27">
        <v>72</v>
      </c>
      <c r="C27">
        <f t="shared" si="0"/>
        <v>21.945600000000002</v>
      </c>
    </row>
    <row r="28" spans="1:7" x14ac:dyDescent="0.25">
      <c r="A28">
        <v>17</v>
      </c>
      <c r="B28">
        <v>196</v>
      </c>
      <c r="C28">
        <f t="shared" si="0"/>
        <v>59.7408</v>
      </c>
    </row>
    <row r="29" spans="1:7" x14ac:dyDescent="0.25">
      <c r="A29">
        <v>17</v>
      </c>
      <c r="B29">
        <v>56</v>
      </c>
      <c r="C29">
        <f t="shared" si="0"/>
        <v>17.0688</v>
      </c>
    </row>
    <row r="30" spans="1:7" x14ac:dyDescent="0.25">
      <c r="A30">
        <v>17</v>
      </c>
      <c r="B30">
        <v>60</v>
      </c>
      <c r="C30">
        <f t="shared" si="0"/>
        <v>18.288</v>
      </c>
    </row>
    <row r="31" spans="1:7" x14ac:dyDescent="0.25">
      <c r="A31">
        <v>17</v>
      </c>
      <c r="B31">
        <v>270</v>
      </c>
      <c r="C31">
        <f t="shared" si="0"/>
        <v>82.296000000000006</v>
      </c>
    </row>
    <row r="32" spans="1:7" x14ac:dyDescent="0.25">
      <c r="A32">
        <v>17</v>
      </c>
      <c r="B32">
        <v>54</v>
      </c>
      <c r="C32">
        <f t="shared" si="0"/>
        <v>16.459199999999999</v>
      </c>
    </row>
    <row r="33" spans="1:5" x14ac:dyDescent="0.25">
      <c r="A33">
        <v>17</v>
      </c>
      <c r="B33">
        <v>196</v>
      </c>
      <c r="C33">
        <f t="shared" si="0"/>
        <v>59.7408</v>
      </c>
    </row>
    <row r="34" spans="1:5" x14ac:dyDescent="0.25">
      <c r="A34">
        <v>17</v>
      </c>
      <c r="B34">
        <v>56</v>
      </c>
      <c r="C34">
        <f t="shared" si="0"/>
        <v>17.0688</v>
      </c>
    </row>
    <row r="35" spans="1:5" x14ac:dyDescent="0.25">
      <c r="A35">
        <v>17</v>
      </c>
      <c r="B35">
        <v>600</v>
      </c>
      <c r="C35">
        <f t="shared" si="0"/>
        <v>182.88</v>
      </c>
    </row>
    <row r="36" spans="1:5" x14ac:dyDescent="0.25">
      <c r="A36">
        <v>17</v>
      </c>
      <c r="B36">
        <v>28</v>
      </c>
      <c r="C36">
        <f t="shared" si="0"/>
        <v>8.5343999999999998</v>
      </c>
    </row>
    <row r="37" spans="1:5" x14ac:dyDescent="0.25">
      <c r="A37">
        <v>17</v>
      </c>
      <c r="B37">
        <v>657</v>
      </c>
      <c r="C37">
        <f t="shared" si="0"/>
        <v>200.25360000000001</v>
      </c>
    </row>
    <row r="38" spans="1:5" x14ac:dyDescent="0.25">
      <c r="A38">
        <v>17</v>
      </c>
      <c r="B38">
        <v>3960</v>
      </c>
      <c r="C38">
        <f t="shared" si="0"/>
        <v>1207.008</v>
      </c>
      <c r="E38">
        <f>B38-B39*9</f>
        <v>657</v>
      </c>
    </row>
    <row r="39" spans="1:5" x14ac:dyDescent="0.25">
      <c r="A39">
        <v>17</v>
      </c>
      <c r="B39">
        <v>367</v>
      </c>
      <c r="C39">
        <f t="shared" si="0"/>
        <v>111.86160000000001</v>
      </c>
    </row>
    <row r="40" spans="1:5" x14ac:dyDescent="0.25">
      <c r="A40">
        <v>17</v>
      </c>
      <c r="B40">
        <v>65</v>
      </c>
      <c r="C40">
        <f t="shared" si="0"/>
        <v>19.812000000000001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EC15-AB2F-4DF0-B7E7-DB9059E44669}">
  <dimension ref="A1:D18"/>
  <sheetViews>
    <sheetView workbookViewId="0">
      <selection activeCell="F8" sqref="F8"/>
    </sheetView>
  </sheetViews>
  <sheetFormatPr defaultRowHeight="13.8" x14ac:dyDescent="0.25"/>
  <cols>
    <col min="2" max="4" width="10.6640625" bestFit="1" customWidth="1"/>
  </cols>
  <sheetData>
    <row r="1" spans="1:4" x14ac:dyDescent="0.25">
      <c r="B1" t="s">
        <v>52</v>
      </c>
      <c r="C1" t="s">
        <v>65</v>
      </c>
      <c r="D1" t="s">
        <v>64</v>
      </c>
    </row>
    <row r="2" spans="1:4" x14ac:dyDescent="0.25">
      <c r="A2" t="s">
        <v>51</v>
      </c>
      <c r="B2">
        <v>110.73</v>
      </c>
      <c r="C2">
        <v>111.86</v>
      </c>
      <c r="D2">
        <f>ABS(B2-C2)</f>
        <v>1.1299999999999955</v>
      </c>
    </row>
    <row r="3" spans="1:4" x14ac:dyDescent="0.25">
      <c r="A3" t="s">
        <v>53</v>
      </c>
      <c r="B3">
        <v>112.15</v>
      </c>
      <c r="C3">
        <v>111.86</v>
      </c>
      <c r="D3">
        <f t="shared" ref="D3:D11" si="0">ABS(B3-C3)</f>
        <v>0.29000000000000625</v>
      </c>
    </row>
    <row r="4" spans="1:4" x14ac:dyDescent="0.25">
      <c r="A4" t="s">
        <v>54</v>
      </c>
      <c r="B4">
        <v>111.83</v>
      </c>
      <c r="C4">
        <v>111.86</v>
      </c>
      <c r="D4">
        <f t="shared" si="0"/>
        <v>3.0000000000001137E-2</v>
      </c>
    </row>
    <row r="5" spans="1:4" x14ac:dyDescent="0.25">
      <c r="A5" t="s">
        <v>55</v>
      </c>
      <c r="B5">
        <v>110.84</v>
      </c>
      <c r="C5">
        <v>111.86</v>
      </c>
      <c r="D5">
        <f t="shared" si="0"/>
        <v>1.019999999999996</v>
      </c>
    </row>
    <row r="6" spans="1:4" x14ac:dyDescent="0.25">
      <c r="A6" t="s">
        <v>56</v>
      </c>
      <c r="B6">
        <v>111.9</v>
      </c>
      <c r="C6">
        <v>111.86</v>
      </c>
      <c r="D6">
        <f t="shared" si="0"/>
        <v>4.0000000000006253E-2</v>
      </c>
    </row>
    <row r="7" spans="1:4" x14ac:dyDescent="0.25">
      <c r="A7" t="s">
        <v>57</v>
      </c>
      <c r="B7">
        <v>111.24</v>
      </c>
      <c r="C7">
        <v>111.86</v>
      </c>
      <c r="D7">
        <f t="shared" si="0"/>
        <v>0.62000000000000455</v>
      </c>
    </row>
    <row r="8" spans="1:4" x14ac:dyDescent="0.25">
      <c r="A8" t="s">
        <v>58</v>
      </c>
      <c r="B8">
        <v>111.73</v>
      </c>
      <c r="C8">
        <v>111.86</v>
      </c>
      <c r="D8">
        <f t="shared" si="0"/>
        <v>0.12999999999999545</v>
      </c>
    </row>
    <row r="9" spans="1:4" x14ac:dyDescent="0.25">
      <c r="A9" t="s">
        <v>59</v>
      </c>
      <c r="B9">
        <v>110.86</v>
      </c>
      <c r="C9">
        <v>111.86</v>
      </c>
      <c r="D9">
        <f t="shared" si="0"/>
        <v>1</v>
      </c>
    </row>
    <row r="10" spans="1:4" x14ac:dyDescent="0.25">
      <c r="A10" t="s">
        <v>60</v>
      </c>
      <c r="B10">
        <v>111.1</v>
      </c>
      <c r="C10">
        <v>111.86</v>
      </c>
      <c r="D10">
        <f t="shared" si="0"/>
        <v>0.76000000000000512</v>
      </c>
    </row>
    <row r="11" spans="1:4" x14ac:dyDescent="0.25">
      <c r="A11" t="s">
        <v>61</v>
      </c>
      <c r="B11">
        <v>80.94</v>
      </c>
      <c r="C11">
        <v>81.459999999999994</v>
      </c>
      <c r="D11">
        <f t="shared" si="0"/>
        <v>0.51999999999999602</v>
      </c>
    </row>
    <row r="12" spans="1:4" x14ac:dyDescent="0.25">
      <c r="C12">
        <v>19.8</v>
      </c>
    </row>
    <row r="13" spans="1:4" x14ac:dyDescent="0.25">
      <c r="C13">
        <v>19.8</v>
      </c>
    </row>
    <row r="14" spans="1:4" x14ac:dyDescent="0.25">
      <c r="C14">
        <v>19.8</v>
      </c>
    </row>
    <row r="15" spans="1:4" x14ac:dyDescent="0.25">
      <c r="C15">
        <v>19.8</v>
      </c>
    </row>
    <row r="16" spans="1:4" x14ac:dyDescent="0.25">
      <c r="C16">
        <v>19.8</v>
      </c>
    </row>
    <row r="17" spans="3:3" x14ac:dyDescent="0.25">
      <c r="C17">
        <v>19.8</v>
      </c>
    </row>
    <row r="18" spans="3:3" x14ac:dyDescent="0.25">
      <c r="C18">
        <f>SUM(C2:C17)</f>
        <v>1206.9999999999998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E9EE-CF9D-48D3-A5B0-7F8DD62FC627}">
  <dimension ref="A1:E23"/>
  <sheetViews>
    <sheetView topLeftCell="A18" workbookViewId="0">
      <selection activeCell="L19" sqref="L19"/>
    </sheetView>
  </sheetViews>
  <sheetFormatPr defaultRowHeight="13.8" x14ac:dyDescent="0.25"/>
  <cols>
    <col min="1" max="1" width="4.6640625" bestFit="1" customWidth="1"/>
    <col min="2" max="2" width="11.88671875" style="1" bestFit="1" customWidth="1"/>
    <col min="3" max="3" width="9.6640625" style="1" bestFit="1" customWidth="1"/>
    <col min="4" max="5" width="11.6640625" bestFit="1" customWidth="1"/>
  </cols>
  <sheetData>
    <row r="1" spans="1:5" ht="27.6" x14ac:dyDescent="0.25">
      <c r="A1" s="2" t="s">
        <v>0</v>
      </c>
      <c r="B1" s="3" t="s">
        <v>12</v>
      </c>
      <c r="C1" s="3" t="s">
        <v>11</v>
      </c>
      <c r="D1" s="3" t="s">
        <v>4</v>
      </c>
      <c r="E1" s="3" t="s">
        <v>5</v>
      </c>
    </row>
    <row r="2" spans="1:5" ht="41.4" x14ac:dyDescent="0.25">
      <c r="A2" s="7">
        <v>1</v>
      </c>
      <c r="B2" s="6" t="s">
        <v>13</v>
      </c>
      <c r="C2" s="6" t="s">
        <v>14</v>
      </c>
      <c r="D2" s="7">
        <v>18.931810299999999</v>
      </c>
      <c r="E2" s="7">
        <v>96.331697500000004</v>
      </c>
    </row>
    <row r="3" spans="1:5" ht="41.4" x14ac:dyDescent="0.25">
      <c r="A3" s="7">
        <v>2</v>
      </c>
      <c r="B3" s="6" t="s">
        <v>13</v>
      </c>
      <c r="C3" s="6" t="s">
        <v>15</v>
      </c>
      <c r="D3" s="7">
        <v>19.1999095</v>
      </c>
      <c r="E3" s="7">
        <v>96.254392600000003</v>
      </c>
    </row>
    <row r="4" spans="1:5" ht="41.4" x14ac:dyDescent="0.25">
      <c r="A4" s="7">
        <v>3</v>
      </c>
      <c r="B4" s="6" t="s">
        <v>13</v>
      </c>
      <c r="C4" s="9" t="s">
        <v>16</v>
      </c>
      <c r="D4" s="7">
        <v>21.669640099999999</v>
      </c>
      <c r="E4" s="7">
        <v>95.990107100000003</v>
      </c>
    </row>
    <row r="5" spans="1:5" ht="41.4" x14ac:dyDescent="0.25">
      <c r="A5" s="7">
        <v>4</v>
      </c>
      <c r="B5" s="5" t="s">
        <v>13</v>
      </c>
      <c r="C5" s="9" t="s">
        <v>17</v>
      </c>
      <c r="D5" s="4">
        <v>21.8249265</v>
      </c>
      <c r="E5" s="4">
        <v>95.984375299999996</v>
      </c>
    </row>
    <row r="6" spans="1:5" ht="41.4" x14ac:dyDescent="0.25">
      <c r="A6" s="7">
        <v>5</v>
      </c>
      <c r="B6" s="6" t="s">
        <v>13</v>
      </c>
      <c r="C6" s="9" t="s">
        <v>18</v>
      </c>
      <c r="D6" s="7">
        <v>21.8311779</v>
      </c>
      <c r="E6" s="7">
        <v>95.990418099999999</v>
      </c>
    </row>
    <row r="7" spans="1:5" ht="41.4" x14ac:dyDescent="0.25">
      <c r="A7" s="7">
        <v>6</v>
      </c>
      <c r="B7" s="5" t="s">
        <v>13</v>
      </c>
      <c r="C7" s="5" t="s">
        <v>19</v>
      </c>
      <c r="D7" s="4">
        <v>21.846080099999998</v>
      </c>
      <c r="E7" s="4">
        <v>96.011540400000001</v>
      </c>
    </row>
    <row r="8" spans="1:5" ht="27.6" x14ac:dyDescent="0.25">
      <c r="A8" s="7">
        <v>7</v>
      </c>
      <c r="B8" s="5" t="s">
        <v>21</v>
      </c>
      <c r="C8" s="9" t="s">
        <v>20</v>
      </c>
      <c r="D8" s="4">
        <v>21.876970499999999</v>
      </c>
      <c r="E8" s="4">
        <v>95.9959755</v>
      </c>
    </row>
    <row r="9" spans="1:5" ht="69" x14ac:dyDescent="0.25">
      <c r="A9" s="7">
        <v>8</v>
      </c>
      <c r="B9" s="6" t="s">
        <v>21</v>
      </c>
      <c r="C9" s="9" t="s">
        <v>22</v>
      </c>
      <c r="D9" s="7">
        <v>21.8742281</v>
      </c>
      <c r="E9" s="7">
        <v>96.002684400000007</v>
      </c>
    </row>
    <row r="10" spans="1:5" ht="27.6" x14ac:dyDescent="0.25">
      <c r="A10" s="7">
        <v>9</v>
      </c>
      <c r="B10" s="5" t="s">
        <v>21</v>
      </c>
      <c r="C10" s="9" t="s">
        <v>23</v>
      </c>
      <c r="D10" s="4">
        <v>21.893036299999999</v>
      </c>
      <c r="E10" s="4">
        <v>95.976300800000004</v>
      </c>
    </row>
    <row r="11" spans="1:5" ht="41.4" x14ac:dyDescent="0.25">
      <c r="A11" s="7">
        <v>10</v>
      </c>
      <c r="B11" s="6" t="s">
        <v>25</v>
      </c>
      <c r="C11" s="9" t="s">
        <v>24</v>
      </c>
      <c r="D11" s="7">
        <v>21.805684599999999</v>
      </c>
      <c r="E11" s="7">
        <v>95.998983800000005</v>
      </c>
    </row>
    <row r="12" spans="1:5" ht="27.6" x14ac:dyDescent="0.25">
      <c r="A12" s="7">
        <v>11</v>
      </c>
      <c r="B12" s="6" t="s">
        <v>26</v>
      </c>
      <c r="C12" s="6" t="s">
        <v>44</v>
      </c>
      <c r="D12" s="7">
        <v>21.371914</v>
      </c>
      <c r="E12" s="7">
        <v>96.171106100000003</v>
      </c>
    </row>
    <row r="13" spans="1:5" ht="41.4" x14ac:dyDescent="0.25">
      <c r="A13" s="7">
        <v>12</v>
      </c>
      <c r="B13" s="6" t="s">
        <v>29</v>
      </c>
      <c r="C13" s="6" t="s">
        <v>30</v>
      </c>
      <c r="D13" s="6">
        <v>19.241910099999998</v>
      </c>
      <c r="E13" s="6">
        <v>96.298360799999998</v>
      </c>
    </row>
    <row r="14" spans="1:5" ht="41.4" x14ac:dyDescent="0.25">
      <c r="A14" s="7">
        <v>13</v>
      </c>
      <c r="B14" s="6" t="s">
        <v>29</v>
      </c>
      <c r="C14" s="6" t="s">
        <v>31</v>
      </c>
      <c r="D14" s="6">
        <v>19.411393400000001</v>
      </c>
      <c r="E14" s="6">
        <v>96.264641299999994</v>
      </c>
    </row>
    <row r="15" spans="1:5" ht="41.4" x14ac:dyDescent="0.25">
      <c r="A15" s="7">
        <v>14</v>
      </c>
      <c r="B15" s="6" t="s">
        <v>29</v>
      </c>
      <c r="C15" s="6" t="s">
        <v>32</v>
      </c>
      <c r="D15" s="6">
        <v>19.5324457</v>
      </c>
      <c r="E15" s="6">
        <v>96.247338299999996</v>
      </c>
    </row>
    <row r="16" spans="1:5" ht="41.4" x14ac:dyDescent="0.25">
      <c r="A16" s="7">
        <v>15</v>
      </c>
      <c r="B16" s="6" t="s">
        <v>29</v>
      </c>
      <c r="C16" s="6" t="s">
        <v>33</v>
      </c>
      <c r="D16" s="6">
        <v>19.627008100000001</v>
      </c>
      <c r="E16" s="6">
        <v>96.236576499999998</v>
      </c>
    </row>
    <row r="17" spans="1:5" ht="69" x14ac:dyDescent="0.25">
      <c r="A17" s="7">
        <v>16</v>
      </c>
      <c r="B17" s="6" t="s">
        <v>29</v>
      </c>
      <c r="C17" s="6" t="s">
        <v>34</v>
      </c>
      <c r="D17" s="6">
        <v>19.744712100000001</v>
      </c>
      <c r="E17" s="6">
        <v>96.203495500000002</v>
      </c>
    </row>
    <row r="18" spans="1:5" ht="41.4" x14ac:dyDescent="0.25">
      <c r="A18" s="7">
        <v>17</v>
      </c>
      <c r="B18" s="6" t="s">
        <v>29</v>
      </c>
      <c r="C18" s="6" t="s">
        <v>35</v>
      </c>
      <c r="D18" s="6">
        <v>20.201459</v>
      </c>
      <c r="E18" s="6">
        <v>96.180795799999999</v>
      </c>
    </row>
    <row r="19" spans="1:5" ht="41.4" x14ac:dyDescent="0.25">
      <c r="A19" s="7">
        <v>18</v>
      </c>
      <c r="B19" s="6" t="s">
        <v>29</v>
      </c>
      <c r="C19" s="6" t="s">
        <v>36</v>
      </c>
      <c r="D19" s="6">
        <v>21.187865500000001</v>
      </c>
      <c r="E19" s="6">
        <v>96.075046099999994</v>
      </c>
    </row>
    <row r="20" spans="1:5" ht="41.4" x14ac:dyDescent="0.25">
      <c r="A20" s="7">
        <v>19</v>
      </c>
      <c r="B20" s="6" t="s">
        <v>29</v>
      </c>
      <c r="C20" s="6" t="s">
        <v>37</v>
      </c>
      <c r="D20" s="6">
        <v>21.239391699999999</v>
      </c>
      <c r="E20" s="6">
        <v>96.096649299999996</v>
      </c>
    </row>
    <row r="21" spans="1:5" ht="41.4" x14ac:dyDescent="0.25">
      <c r="A21" s="7">
        <v>20</v>
      </c>
      <c r="B21" s="6" t="s">
        <v>29</v>
      </c>
      <c r="C21" s="6" t="s">
        <v>38</v>
      </c>
      <c r="D21" s="6">
        <v>21.498563999999998</v>
      </c>
      <c r="E21" s="6">
        <v>96.131319500000004</v>
      </c>
    </row>
    <row r="22" spans="1:5" ht="41.4" x14ac:dyDescent="0.25">
      <c r="A22" s="7">
        <v>21</v>
      </c>
      <c r="B22" s="6" t="s">
        <v>29</v>
      </c>
      <c r="C22" s="6" t="s">
        <v>43</v>
      </c>
      <c r="D22" s="6">
        <v>21.558859699999999</v>
      </c>
      <c r="E22" s="6">
        <v>96.134649999999993</v>
      </c>
    </row>
    <row r="23" spans="1:5" ht="41.4" x14ac:dyDescent="0.25">
      <c r="A23" s="7">
        <v>22</v>
      </c>
      <c r="B23" s="6" t="s">
        <v>40</v>
      </c>
      <c r="C23" s="6" t="s">
        <v>41</v>
      </c>
      <c r="D23" s="6">
        <v>21.871472399999998</v>
      </c>
      <c r="E23" s="6">
        <v>95.9924252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2B54-4AB0-4EE3-B37E-9B8C6B04AF1C}">
  <dimension ref="A1:F32"/>
  <sheetViews>
    <sheetView topLeftCell="A12" workbookViewId="0">
      <selection activeCell="B22" sqref="B22"/>
    </sheetView>
  </sheetViews>
  <sheetFormatPr defaultColWidth="9" defaultRowHeight="13.2" x14ac:dyDescent="0.25"/>
  <cols>
    <col min="1" max="1" width="3.88671875" style="10" bestFit="1" customWidth="1"/>
    <col min="2" max="2" width="21.77734375" style="10" customWidth="1"/>
    <col min="3" max="3" width="11.33203125" style="10" bestFit="1" customWidth="1"/>
    <col min="4" max="4" width="9.77734375" style="10" bestFit="1" customWidth="1"/>
    <col min="5" max="5" width="10.33203125" style="10" bestFit="1" customWidth="1"/>
    <col min="6" max="6" width="32.109375" style="11" customWidth="1"/>
    <col min="7" max="7" width="37" style="10" bestFit="1" customWidth="1"/>
    <col min="8" max="16384" width="9" style="10"/>
  </cols>
  <sheetData>
    <row r="1" spans="1:6" ht="36" x14ac:dyDescent="0.25">
      <c r="A1" s="12" t="s">
        <v>0</v>
      </c>
      <c r="B1" s="12" t="s">
        <v>12</v>
      </c>
      <c r="C1" s="13" t="s">
        <v>91</v>
      </c>
      <c r="D1" s="13" t="s">
        <v>92</v>
      </c>
      <c r="E1" s="13" t="s">
        <v>90</v>
      </c>
      <c r="F1" s="13" t="s">
        <v>70</v>
      </c>
    </row>
    <row r="2" spans="1:6" ht="36" x14ac:dyDescent="0.25">
      <c r="A2" s="14">
        <v>1</v>
      </c>
      <c r="B2" s="14" t="s">
        <v>66</v>
      </c>
      <c r="C2" s="14">
        <v>21.882009</v>
      </c>
      <c r="D2" s="14">
        <v>95.985293999999996</v>
      </c>
      <c r="E2" s="14">
        <v>0</v>
      </c>
      <c r="F2" s="17" t="s">
        <v>71</v>
      </c>
    </row>
    <row r="3" spans="1:6" x14ac:dyDescent="0.25">
      <c r="A3" s="14">
        <v>2</v>
      </c>
      <c r="B3" s="14" t="s">
        <v>67</v>
      </c>
      <c r="C3" s="14">
        <v>21.881222000000001</v>
      </c>
      <c r="D3" s="14">
        <v>95.985315999999997</v>
      </c>
      <c r="E3" s="14">
        <v>1.7</v>
      </c>
      <c r="F3" s="17" t="s">
        <v>72</v>
      </c>
    </row>
    <row r="4" spans="1:6" ht="36" x14ac:dyDescent="0.25">
      <c r="A4" s="14">
        <v>3</v>
      </c>
      <c r="B4" s="14" t="s">
        <v>68</v>
      </c>
      <c r="C4" s="14">
        <v>21.827442000000001</v>
      </c>
      <c r="D4" s="14">
        <v>95.987067999999994</v>
      </c>
      <c r="E4" s="14">
        <v>0</v>
      </c>
      <c r="F4" s="17" t="s">
        <v>74</v>
      </c>
    </row>
    <row r="5" spans="1:6" ht="24" x14ac:dyDescent="0.25">
      <c r="A5" s="14">
        <v>4</v>
      </c>
      <c r="B5" s="14" t="s">
        <v>75</v>
      </c>
      <c r="C5" s="14">
        <v>21.815268</v>
      </c>
      <c r="D5" s="14">
        <v>95.987375999999998</v>
      </c>
      <c r="E5" s="14">
        <v>1.7</v>
      </c>
      <c r="F5" s="17" t="s">
        <v>76</v>
      </c>
    </row>
    <row r="6" spans="1:6" ht="36" x14ac:dyDescent="0.25">
      <c r="A6" s="14">
        <v>5</v>
      </c>
      <c r="B6" s="14" t="s">
        <v>39</v>
      </c>
      <c r="C6" s="14">
        <v>21.800948999999999</v>
      </c>
      <c r="D6" s="14">
        <v>95.987539999999996</v>
      </c>
      <c r="E6" s="14">
        <v>2</v>
      </c>
      <c r="F6" s="17" t="s">
        <v>77</v>
      </c>
    </row>
    <row r="7" spans="1:6" x14ac:dyDescent="0.25">
      <c r="A7" s="14">
        <v>6</v>
      </c>
      <c r="B7" s="14" t="s">
        <v>69</v>
      </c>
      <c r="C7" s="14">
        <v>21.76783</v>
      </c>
      <c r="D7" s="14">
        <v>95.987914000000004</v>
      </c>
      <c r="E7" s="14">
        <v>0</v>
      </c>
      <c r="F7" s="17" t="s">
        <v>73</v>
      </c>
    </row>
    <row r="8" spans="1:6" x14ac:dyDescent="0.25">
      <c r="A8" s="14">
        <v>7</v>
      </c>
      <c r="B8" s="14" t="s">
        <v>68</v>
      </c>
      <c r="C8" s="14">
        <v>21.71893</v>
      </c>
      <c r="D8" s="14">
        <v>95.988759999999999</v>
      </c>
      <c r="E8" s="14">
        <v>0</v>
      </c>
      <c r="F8" s="17" t="s">
        <v>78</v>
      </c>
    </row>
    <row r="9" spans="1:6" x14ac:dyDescent="0.25">
      <c r="A9" s="14">
        <v>8</v>
      </c>
      <c r="B9" s="14" t="s">
        <v>68</v>
      </c>
      <c r="C9" s="14">
        <v>21.669727000000002</v>
      </c>
      <c r="D9" s="14">
        <v>95.990236999999993</v>
      </c>
      <c r="E9" s="14">
        <v>0</v>
      </c>
      <c r="F9" s="17" t="s">
        <v>79</v>
      </c>
    </row>
    <row r="10" spans="1:6" ht="24" x14ac:dyDescent="0.25">
      <c r="A10" s="14">
        <v>9</v>
      </c>
      <c r="B10" s="14" t="s">
        <v>27</v>
      </c>
      <c r="C10" s="14">
        <v>21.650677999999999</v>
      </c>
      <c r="D10" s="14">
        <v>95.990189000000001</v>
      </c>
      <c r="E10" s="14">
        <v>2.0499999999999998</v>
      </c>
      <c r="F10" s="17" t="s">
        <v>80</v>
      </c>
    </row>
    <row r="11" spans="1:6" ht="24" x14ac:dyDescent="0.25">
      <c r="A11" s="14">
        <v>10</v>
      </c>
      <c r="B11" s="14" t="s">
        <v>28</v>
      </c>
      <c r="C11" s="14">
        <v>21.421703999999998</v>
      </c>
      <c r="D11" s="14">
        <v>96.002184</v>
      </c>
      <c r="E11" s="14">
        <v>0.9</v>
      </c>
      <c r="F11" s="17" t="s">
        <v>81</v>
      </c>
    </row>
    <row r="12" spans="1:6" x14ac:dyDescent="0.25">
      <c r="A12" s="14">
        <v>11</v>
      </c>
      <c r="B12" s="14" t="s">
        <v>83</v>
      </c>
      <c r="C12" s="14">
        <v>21.293704999999999</v>
      </c>
      <c r="D12" s="14">
        <v>96.009227999999993</v>
      </c>
      <c r="E12" s="14">
        <v>0</v>
      </c>
      <c r="F12" s="17" t="s">
        <v>78</v>
      </c>
    </row>
    <row r="13" spans="1:6" x14ac:dyDescent="0.25">
      <c r="A13" s="14">
        <v>12</v>
      </c>
      <c r="B13" s="14" t="s">
        <v>83</v>
      </c>
      <c r="C13" s="14">
        <v>21.288675999999999</v>
      </c>
      <c r="D13" s="14">
        <v>96.009495999999999</v>
      </c>
      <c r="E13" s="14">
        <v>0</v>
      </c>
      <c r="F13" s="17" t="s">
        <v>78</v>
      </c>
    </row>
    <row r="14" spans="1:6" x14ac:dyDescent="0.25">
      <c r="A14" s="14">
        <v>13</v>
      </c>
      <c r="B14" s="14" t="s">
        <v>82</v>
      </c>
      <c r="C14" s="14">
        <v>21.090109999999999</v>
      </c>
      <c r="D14" s="14">
        <v>96.021514999999994</v>
      </c>
      <c r="E14" s="14">
        <v>0</v>
      </c>
      <c r="F14" s="17" t="s">
        <v>84</v>
      </c>
    </row>
    <row r="15" spans="1:6" x14ac:dyDescent="0.25">
      <c r="A15" s="14">
        <v>14</v>
      </c>
      <c r="B15" s="14" t="s">
        <v>42</v>
      </c>
      <c r="C15" s="14">
        <v>20.860358000000002</v>
      </c>
      <c r="D15" s="14">
        <v>96.037634999999995</v>
      </c>
      <c r="E15" s="14">
        <v>0</v>
      </c>
      <c r="F15" s="17" t="s">
        <v>86</v>
      </c>
    </row>
    <row r="16" spans="1:6" ht="24" x14ac:dyDescent="0.25">
      <c r="A16" s="14">
        <v>15</v>
      </c>
      <c r="B16" s="15" t="s">
        <v>85</v>
      </c>
      <c r="C16" s="14">
        <v>20.855640999999999</v>
      </c>
      <c r="D16" s="14">
        <v>96.038043999999999</v>
      </c>
      <c r="E16" s="14">
        <v>0</v>
      </c>
      <c r="F16" s="17" t="s">
        <v>78</v>
      </c>
    </row>
    <row r="17" spans="1:6" x14ac:dyDescent="0.25">
      <c r="A17" s="14">
        <v>16</v>
      </c>
      <c r="B17" s="14" t="s">
        <v>29</v>
      </c>
      <c r="C17" s="14">
        <v>20.603280000000002</v>
      </c>
      <c r="D17" s="14">
        <v>96.061204000000004</v>
      </c>
      <c r="E17" s="14">
        <v>0</v>
      </c>
      <c r="F17" s="17" t="s">
        <v>86</v>
      </c>
    </row>
    <row r="18" spans="1:6" ht="24" x14ac:dyDescent="0.25">
      <c r="A18" s="14">
        <v>17</v>
      </c>
      <c r="B18" s="14" t="s">
        <v>29</v>
      </c>
      <c r="C18" s="14">
        <v>20.555935000000002</v>
      </c>
      <c r="D18" s="14">
        <v>96.065522999999999</v>
      </c>
      <c r="E18" s="14">
        <v>0</v>
      </c>
      <c r="F18" s="17" t="s">
        <v>87</v>
      </c>
    </row>
    <row r="19" spans="1:6" x14ac:dyDescent="0.25">
      <c r="A19" s="14">
        <v>18</v>
      </c>
      <c r="B19" s="14" t="s">
        <v>83</v>
      </c>
      <c r="C19" s="14">
        <v>20.538336000000001</v>
      </c>
      <c r="D19" s="14">
        <v>96.067171999999999</v>
      </c>
      <c r="E19" s="14">
        <v>0</v>
      </c>
      <c r="F19" s="25" t="s">
        <v>88</v>
      </c>
    </row>
    <row r="20" spans="1:6" x14ac:dyDescent="0.25">
      <c r="A20" s="14">
        <v>19</v>
      </c>
      <c r="B20" s="14" t="s">
        <v>83</v>
      </c>
      <c r="C20" s="14">
        <v>20.534929999999999</v>
      </c>
      <c r="D20" s="14">
        <v>96.067550999999995</v>
      </c>
      <c r="E20" s="14">
        <v>0</v>
      </c>
      <c r="F20" s="25"/>
    </row>
    <row r="21" spans="1:6" x14ac:dyDescent="0.25">
      <c r="A21" s="14">
        <v>20</v>
      </c>
      <c r="B21" s="14" t="s">
        <v>82</v>
      </c>
      <c r="C21" s="14">
        <v>20.525046</v>
      </c>
      <c r="D21" s="14">
        <v>96.068698999999995</v>
      </c>
      <c r="E21" s="14">
        <v>0</v>
      </c>
      <c r="F21" s="25"/>
    </row>
    <row r="22" spans="1:6" ht="24" x14ac:dyDescent="0.25">
      <c r="A22" s="14">
        <v>21</v>
      </c>
      <c r="B22" s="15" t="s">
        <v>99</v>
      </c>
      <c r="C22" s="14">
        <v>20.152263999999999</v>
      </c>
      <c r="D22" s="14">
        <v>96.116963999999996</v>
      </c>
      <c r="E22" s="14">
        <v>0</v>
      </c>
      <c r="F22" s="17" t="s">
        <v>98</v>
      </c>
    </row>
    <row r="23" spans="1:6" x14ac:dyDescent="0.25">
      <c r="A23" s="14">
        <v>22</v>
      </c>
      <c r="B23" s="14" t="s">
        <v>116</v>
      </c>
      <c r="C23" s="14">
        <v>19.938562000000001</v>
      </c>
      <c r="D23" s="14">
        <v>96.146827000000002</v>
      </c>
      <c r="E23" s="14">
        <v>0</v>
      </c>
      <c r="F23" s="17" t="s">
        <v>78</v>
      </c>
    </row>
    <row r="24" spans="1:6" x14ac:dyDescent="0.25">
      <c r="A24" s="14">
        <v>23</v>
      </c>
      <c r="B24" s="14" t="s">
        <v>116</v>
      </c>
      <c r="C24" s="14">
        <v>19.898161999999999</v>
      </c>
      <c r="D24" s="14">
        <v>96.151066</v>
      </c>
      <c r="E24" s="14">
        <v>0</v>
      </c>
      <c r="F24" s="17" t="s">
        <v>78</v>
      </c>
    </row>
    <row r="25" spans="1:6" ht="24" x14ac:dyDescent="0.25">
      <c r="A25" s="14">
        <v>24</v>
      </c>
      <c r="B25" s="14" t="s">
        <v>89</v>
      </c>
      <c r="C25" s="14">
        <v>19.763342000000002</v>
      </c>
      <c r="D25" s="14">
        <v>96.165976999999998</v>
      </c>
      <c r="E25" s="14">
        <v>1.47</v>
      </c>
      <c r="F25" s="17" t="s">
        <v>94</v>
      </c>
    </row>
    <row r="26" spans="1:6" ht="24" x14ac:dyDescent="0.25">
      <c r="A26" s="14">
        <v>25</v>
      </c>
      <c r="B26" s="14" t="s">
        <v>47</v>
      </c>
      <c r="C26" s="14">
        <v>19.737925000000001</v>
      </c>
      <c r="D26" s="14">
        <v>96.168931999999998</v>
      </c>
      <c r="E26" s="14">
        <v>1.2</v>
      </c>
      <c r="F26" s="17" t="s">
        <v>95</v>
      </c>
    </row>
    <row r="27" spans="1:6" x14ac:dyDescent="0.25">
      <c r="A27" s="14">
        <v>26</v>
      </c>
      <c r="B27" s="14" t="s">
        <v>83</v>
      </c>
      <c r="C27" s="14">
        <v>19.698764000000001</v>
      </c>
      <c r="D27" s="14">
        <v>96.174672999999999</v>
      </c>
      <c r="E27" s="14">
        <v>0</v>
      </c>
      <c r="F27" s="17" t="s">
        <v>78</v>
      </c>
    </row>
    <row r="28" spans="1:6" ht="48" x14ac:dyDescent="0.25">
      <c r="A28" s="14">
        <v>27</v>
      </c>
      <c r="B28" s="14" t="s">
        <v>93</v>
      </c>
      <c r="C28" s="14">
        <v>19.689616000000001</v>
      </c>
      <c r="D28" s="14">
        <v>96.176277999999996</v>
      </c>
      <c r="E28" s="14">
        <v>0</v>
      </c>
      <c r="F28" s="17" t="s">
        <v>96</v>
      </c>
    </row>
    <row r="29" spans="1:6" x14ac:dyDescent="0.25">
      <c r="A29" s="14">
        <v>28</v>
      </c>
      <c r="B29" s="14" t="s">
        <v>97</v>
      </c>
      <c r="C29" s="14">
        <v>19.602934999999999</v>
      </c>
      <c r="D29" s="14">
        <v>96.188781000000006</v>
      </c>
      <c r="E29" s="14">
        <v>0</v>
      </c>
      <c r="F29" s="17" t="s">
        <v>78</v>
      </c>
    </row>
    <row r="30" spans="1:6" x14ac:dyDescent="0.25">
      <c r="A30" s="14">
        <v>29</v>
      </c>
      <c r="B30" s="14" t="s">
        <v>83</v>
      </c>
      <c r="C30" s="14">
        <v>19.595334000000001</v>
      </c>
      <c r="D30" s="14">
        <v>96.190336000000002</v>
      </c>
      <c r="E30" s="14">
        <v>0</v>
      </c>
      <c r="F30" s="17" t="s">
        <v>78</v>
      </c>
    </row>
    <row r="31" spans="1:6" x14ac:dyDescent="0.25">
      <c r="A31" s="14">
        <v>30</v>
      </c>
      <c r="B31" s="14" t="s">
        <v>68</v>
      </c>
      <c r="C31" s="14">
        <v>19.185455000000001</v>
      </c>
      <c r="D31" s="14">
        <v>96.259339999999995</v>
      </c>
      <c r="E31" s="14">
        <v>0</v>
      </c>
      <c r="F31" s="17" t="s">
        <v>100</v>
      </c>
    </row>
    <row r="32" spans="1:6" ht="24" x14ac:dyDescent="0.25">
      <c r="A32" s="16">
        <v>31</v>
      </c>
      <c r="B32" s="16" t="s">
        <v>68</v>
      </c>
      <c r="C32" s="16">
        <v>18.48319</v>
      </c>
      <c r="D32" s="16">
        <v>96.386605000000003</v>
      </c>
      <c r="E32" s="16">
        <v>0</v>
      </c>
      <c r="F32" s="18" t="s">
        <v>101</v>
      </c>
    </row>
  </sheetData>
  <mergeCells count="1">
    <mergeCell ref="F19:F2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B17B-CE43-490B-9448-6F9B1D42D124}">
  <dimension ref="A1:E41"/>
  <sheetViews>
    <sheetView workbookViewId="0">
      <selection activeCell="C34" sqref="C34"/>
    </sheetView>
  </sheetViews>
  <sheetFormatPr defaultRowHeight="13.8" x14ac:dyDescent="0.25"/>
  <cols>
    <col min="1" max="1" width="4.33203125" bestFit="1" customWidth="1"/>
    <col min="3" max="3" width="26.6640625" bestFit="1" customWidth="1"/>
    <col min="4" max="4" width="10.6640625" bestFit="1" customWidth="1"/>
    <col min="5" max="5" width="14.33203125" bestFit="1" customWidth="1"/>
  </cols>
  <sheetData>
    <row r="1" spans="1:5" x14ac:dyDescent="0.25">
      <c r="A1" t="s">
        <v>0</v>
      </c>
      <c r="B1" t="s">
        <v>103</v>
      </c>
      <c r="C1" t="s">
        <v>12</v>
      </c>
      <c r="D1" t="s">
        <v>104</v>
      </c>
      <c r="E1" t="s">
        <v>105</v>
      </c>
    </row>
    <row r="2" spans="1:5" x14ac:dyDescent="0.25">
      <c r="B2">
        <v>9</v>
      </c>
      <c r="C2" t="s">
        <v>66</v>
      </c>
      <c r="D2">
        <v>8.2899999999999991</v>
      </c>
      <c r="E2">
        <v>3</v>
      </c>
    </row>
    <row r="3" spans="1:5" x14ac:dyDescent="0.25">
      <c r="C3" s="8" t="s">
        <v>67</v>
      </c>
      <c r="D3">
        <v>20.83</v>
      </c>
      <c r="E3">
        <v>1</v>
      </c>
    </row>
    <row r="4" spans="1:5" x14ac:dyDescent="0.25">
      <c r="C4" t="s">
        <v>106</v>
      </c>
      <c r="D4">
        <v>14.1</v>
      </c>
      <c r="E4">
        <v>0</v>
      </c>
    </row>
    <row r="5" spans="1:5" x14ac:dyDescent="0.25">
      <c r="C5" t="s">
        <v>107</v>
      </c>
      <c r="D5">
        <v>2.15</v>
      </c>
      <c r="E5">
        <v>0</v>
      </c>
    </row>
    <row r="6" spans="1:5" x14ac:dyDescent="0.25">
      <c r="C6" t="s">
        <v>108</v>
      </c>
      <c r="D6">
        <v>3.3</v>
      </c>
      <c r="E6">
        <v>0</v>
      </c>
    </row>
    <row r="7" spans="1:5" x14ac:dyDescent="0.25">
      <c r="C7" t="s">
        <v>109</v>
      </c>
      <c r="D7">
        <v>3.3</v>
      </c>
      <c r="E7">
        <v>0</v>
      </c>
    </row>
    <row r="8" spans="1:5" x14ac:dyDescent="0.25">
      <c r="C8" t="s">
        <v>68</v>
      </c>
      <c r="D8">
        <v>11.62</v>
      </c>
      <c r="E8">
        <v>3</v>
      </c>
    </row>
    <row r="9" spans="1:5" x14ac:dyDescent="0.25">
      <c r="C9" t="s">
        <v>75</v>
      </c>
      <c r="D9">
        <v>4.45</v>
      </c>
      <c r="E9">
        <v>2</v>
      </c>
    </row>
    <row r="10" spans="1:5" x14ac:dyDescent="0.25">
      <c r="C10" s="8" t="s">
        <v>39</v>
      </c>
      <c r="D10">
        <v>1.1000000000000001</v>
      </c>
      <c r="E10">
        <v>1</v>
      </c>
    </row>
    <row r="12" spans="1:5" x14ac:dyDescent="0.25">
      <c r="B12">
        <v>8</v>
      </c>
      <c r="C12" t="s">
        <v>110</v>
      </c>
      <c r="D12">
        <v>60.8</v>
      </c>
      <c r="E12">
        <v>5</v>
      </c>
    </row>
    <row r="13" spans="1:5" x14ac:dyDescent="0.25">
      <c r="C13" s="8" t="s">
        <v>67</v>
      </c>
      <c r="D13">
        <v>15.1</v>
      </c>
      <c r="E13">
        <v>0</v>
      </c>
    </row>
    <row r="14" spans="1:5" x14ac:dyDescent="0.25">
      <c r="C14" s="8" t="s">
        <v>39</v>
      </c>
      <c r="D14">
        <v>21.77</v>
      </c>
      <c r="E14">
        <v>1</v>
      </c>
    </row>
    <row r="15" spans="1:5" x14ac:dyDescent="0.25">
      <c r="C15" s="8" t="s">
        <v>111</v>
      </c>
      <c r="D15">
        <v>6.97</v>
      </c>
      <c r="E15">
        <v>0</v>
      </c>
    </row>
    <row r="16" spans="1:5" x14ac:dyDescent="0.25">
      <c r="C16" s="8" t="s">
        <v>118</v>
      </c>
      <c r="D16">
        <v>18.73</v>
      </c>
      <c r="E16">
        <v>0</v>
      </c>
    </row>
    <row r="17" spans="3:4" x14ac:dyDescent="0.25">
      <c r="C17" s="8" t="s">
        <v>29</v>
      </c>
      <c r="D17">
        <f>30.43+71.91+75.47</f>
        <v>177.81</v>
      </c>
    </row>
    <row r="18" spans="3:4" x14ac:dyDescent="0.25">
      <c r="C18" t="s">
        <v>68</v>
      </c>
      <c r="D18">
        <f>38.07+25.11</f>
        <v>63.18</v>
      </c>
    </row>
    <row r="19" spans="3:4" x14ac:dyDescent="0.25">
      <c r="C19" t="s">
        <v>112</v>
      </c>
      <c r="D19">
        <f>20.5+39.23+20.98+53.37</f>
        <v>134.07999999999998</v>
      </c>
    </row>
    <row r="20" spans="3:4" x14ac:dyDescent="0.25">
      <c r="C20" t="s">
        <v>69</v>
      </c>
      <c r="D20">
        <v>15.55</v>
      </c>
    </row>
    <row r="21" spans="3:4" x14ac:dyDescent="0.25">
      <c r="C21" t="s">
        <v>113</v>
      </c>
      <c r="D21">
        <v>27.79</v>
      </c>
    </row>
    <row r="22" spans="3:4" x14ac:dyDescent="0.25">
      <c r="C22" t="s">
        <v>27</v>
      </c>
      <c r="D22">
        <v>15.11</v>
      </c>
    </row>
    <row r="23" spans="3:4" x14ac:dyDescent="0.25">
      <c r="C23" t="s">
        <v>28</v>
      </c>
      <c r="D23">
        <v>16.52</v>
      </c>
    </row>
    <row r="24" spans="3:4" x14ac:dyDescent="0.25">
      <c r="C24" s="8" t="s">
        <v>42</v>
      </c>
      <c r="D24">
        <v>7.32</v>
      </c>
    </row>
    <row r="25" spans="3:4" x14ac:dyDescent="0.25">
      <c r="C25" t="s">
        <v>114</v>
      </c>
      <c r="D25">
        <v>2.36</v>
      </c>
    </row>
    <row r="26" spans="3:4" ht="27.6" x14ac:dyDescent="0.25">
      <c r="C26" s="1" t="s">
        <v>85</v>
      </c>
      <c r="D26">
        <v>6.3</v>
      </c>
    </row>
    <row r="27" spans="3:4" x14ac:dyDescent="0.25">
      <c r="C27" t="s">
        <v>115</v>
      </c>
      <c r="D27">
        <v>8.0399999999999991</v>
      </c>
    </row>
    <row r="28" spans="3:4" ht="27.6" x14ac:dyDescent="0.25">
      <c r="C28" s="1" t="s">
        <v>99</v>
      </c>
      <c r="D28">
        <v>11.44</v>
      </c>
    </row>
    <row r="29" spans="3:4" x14ac:dyDescent="0.25">
      <c r="C29" t="s">
        <v>116</v>
      </c>
      <c r="D29">
        <v>45.49</v>
      </c>
    </row>
    <row r="30" spans="3:4" x14ac:dyDescent="0.25">
      <c r="C30" s="1" t="s">
        <v>117</v>
      </c>
      <c r="D30">
        <v>6.8</v>
      </c>
    </row>
    <row r="31" spans="3:4" x14ac:dyDescent="0.25">
      <c r="C31" s="1" t="s">
        <v>119</v>
      </c>
      <c r="D31">
        <v>14.61</v>
      </c>
    </row>
    <row r="32" spans="3:4" x14ac:dyDescent="0.25">
      <c r="C32" t="s">
        <v>89</v>
      </c>
      <c r="D32">
        <v>9.58</v>
      </c>
    </row>
    <row r="33" spans="2:4" x14ac:dyDescent="0.25">
      <c r="C33" t="s">
        <v>47</v>
      </c>
      <c r="D33">
        <v>14.9</v>
      </c>
    </row>
    <row r="34" spans="2:4" x14ac:dyDescent="0.25">
      <c r="C34" s="8" t="s">
        <v>93</v>
      </c>
    </row>
    <row r="36" spans="2:4" x14ac:dyDescent="0.25">
      <c r="B36">
        <v>7</v>
      </c>
      <c r="C36" t="s">
        <v>66</v>
      </c>
      <c r="D36">
        <v>8.3800000000000008</v>
      </c>
    </row>
    <row r="37" spans="2:4" x14ac:dyDescent="0.25">
      <c r="C37" t="s">
        <v>120</v>
      </c>
      <c r="D37">
        <v>10</v>
      </c>
    </row>
    <row r="38" spans="2:4" x14ac:dyDescent="0.25">
      <c r="C38" t="s">
        <v>121</v>
      </c>
      <c r="D38">
        <v>8.2200000000000006</v>
      </c>
    </row>
    <row r="39" spans="2:4" x14ac:dyDescent="0.25">
      <c r="C39" t="s">
        <v>122</v>
      </c>
      <c r="D39">
        <v>6.23</v>
      </c>
    </row>
    <row r="40" spans="2:4" x14ac:dyDescent="0.25">
      <c r="C40" t="s">
        <v>112</v>
      </c>
    </row>
    <row r="41" spans="2:4" x14ac:dyDescent="0.25">
      <c r="C41" t="s">
        <v>68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9AD-4BC3-48C9-816A-A1407790DF4A}">
  <dimension ref="A1:P47"/>
  <sheetViews>
    <sheetView tabSelected="1" workbookViewId="0">
      <selection activeCell="E17" sqref="E17"/>
    </sheetView>
  </sheetViews>
  <sheetFormatPr defaultColWidth="9" defaultRowHeight="13.8" x14ac:dyDescent="0.25"/>
  <cols>
    <col min="1" max="1" width="11.109375" style="19" customWidth="1"/>
    <col min="2" max="2" width="15.33203125" style="19" bestFit="1" customWidth="1"/>
    <col min="3" max="3" width="14.77734375" style="19" bestFit="1" customWidth="1"/>
    <col min="4" max="4" width="13.77734375" style="19" customWidth="1"/>
    <col min="5" max="5" width="10" style="19" bestFit="1" customWidth="1"/>
    <col min="6" max="16384" width="9" style="19"/>
  </cols>
  <sheetData>
    <row r="1" spans="1:16" x14ac:dyDescent="0.25">
      <c r="A1" s="26" t="s">
        <v>132</v>
      </c>
      <c r="B1" s="26" t="s">
        <v>130</v>
      </c>
      <c r="C1" s="26"/>
      <c r="D1" s="26"/>
      <c r="E1" s="26"/>
      <c r="F1" s="26"/>
    </row>
    <row r="2" spans="1:16" ht="24" x14ac:dyDescent="0.25">
      <c r="A2" s="27"/>
      <c r="B2" s="24" t="s">
        <v>143</v>
      </c>
      <c r="C2" s="24" t="s">
        <v>144</v>
      </c>
      <c r="D2" s="24" t="s">
        <v>145</v>
      </c>
      <c r="E2" s="16" t="s">
        <v>123</v>
      </c>
      <c r="F2" s="16" t="s">
        <v>102</v>
      </c>
      <c r="M2" s="19" t="s">
        <v>126</v>
      </c>
      <c r="N2" s="19" t="s">
        <v>127</v>
      </c>
      <c r="O2" s="19" t="s">
        <v>128</v>
      </c>
      <c r="P2" s="19" t="s">
        <v>129</v>
      </c>
    </row>
    <row r="3" spans="1:16" x14ac:dyDescent="0.25">
      <c r="A3" s="14" t="s">
        <v>126</v>
      </c>
      <c r="B3" s="14">
        <v>1376</v>
      </c>
      <c r="C3" s="14">
        <v>29</v>
      </c>
      <c r="D3" s="14">
        <v>0</v>
      </c>
      <c r="E3" s="14">
        <v>1</v>
      </c>
      <c r="F3" s="14">
        <f>SUM(B3:E3)</f>
        <v>1406</v>
      </c>
      <c r="L3" s="19" t="s">
        <v>124</v>
      </c>
      <c r="M3" s="19">
        <v>1406</v>
      </c>
      <c r="N3" s="19">
        <v>1186</v>
      </c>
      <c r="O3" s="19">
        <v>1000</v>
      </c>
      <c r="P3" s="19">
        <v>60</v>
      </c>
    </row>
    <row r="4" spans="1:16" x14ac:dyDescent="0.25">
      <c r="A4" s="14" t="s">
        <v>133</v>
      </c>
      <c r="B4" s="14">
        <v>1171</v>
      </c>
      <c r="C4" s="14">
        <v>14</v>
      </c>
      <c r="D4" s="14">
        <v>1</v>
      </c>
      <c r="E4" s="14">
        <v>0</v>
      </c>
      <c r="F4" s="14">
        <f>SUM(B4:E4)</f>
        <v>1186</v>
      </c>
      <c r="L4" s="19" t="s">
        <v>125</v>
      </c>
      <c r="M4" s="19">
        <v>166</v>
      </c>
      <c r="N4" s="19">
        <v>85</v>
      </c>
      <c r="O4" s="19">
        <v>64</v>
      </c>
      <c r="P4" s="19">
        <v>4</v>
      </c>
    </row>
    <row r="5" spans="1:16" x14ac:dyDescent="0.25">
      <c r="A5" s="14" t="s">
        <v>134</v>
      </c>
      <c r="B5" s="14">
        <v>973</v>
      </c>
      <c r="C5" s="14">
        <v>24</v>
      </c>
      <c r="D5" s="14">
        <v>2</v>
      </c>
      <c r="E5" s="14">
        <v>1</v>
      </c>
      <c r="F5" s="14">
        <f>SUM(B5:E5)</f>
        <v>1000</v>
      </c>
    </row>
    <row r="6" spans="1:16" x14ac:dyDescent="0.25">
      <c r="A6" s="14" t="s">
        <v>135</v>
      </c>
      <c r="B6" s="14">
        <v>54</v>
      </c>
      <c r="C6" s="14">
        <v>4</v>
      </c>
      <c r="D6" s="14">
        <v>1</v>
      </c>
      <c r="E6" s="14">
        <v>1</v>
      </c>
      <c r="F6" s="14">
        <f>SUM(B6:E6)</f>
        <v>60</v>
      </c>
    </row>
    <row r="7" spans="1:16" x14ac:dyDescent="0.25">
      <c r="A7" s="16" t="s">
        <v>102</v>
      </c>
      <c r="B7" s="16">
        <f>SUM(B3:B6)</f>
        <v>3574</v>
      </c>
      <c r="C7" s="16">
        <f>SUM(C3:C6)</f>
        <v>71</v>
      </c>
      <c r="D7" s="16">
        <f>SUM(D3:D6)</f>
        <v>4</v>
      </c>
      <c r="E7" s="16">
        <f>SUM(E3:E6)</f>
        <v>3</v>
      </c>
      <c r="F7" s="16">
        <f>SUM(F3:F6)</f>
        <v>3652</v>
      </c>
    </row>
    <row r="11" spans="1:16" x14ac:dyDescent="0.25">
      <c r="A11" s="26" t="s">
        <v>132</v>
      </c>
      <c r="B11" s="26" t="s">
        <v>131</v>
      </c>
      <c r="C11" s="26"/>
      <c r="D11" s="26"/>
      <c r="E11" s="26"/>
      <c r="F11" s="26"/>
    </row>
    <row r="12" spans="1:16" ht="24" x14ac:dyDescent="0.25">
      <c r="A12" s="27"/>
      <c r="B12" s="24" t="s">
        <v>143</v>
      </c>
      <c r="C12" s="24" t="s">
        <v>144</v>
      </c>
      <c r="D12" s="24" t="s">
        <v>145</v>
      </c>
      <c r="E12" s="16" t="s">
        <v>123</v>
      </c>
      <c r="F12" s="16" t="s">
        <v>102</v>
      </c>
    </row>
    <row r="13" spans="1:16" x14ac:dyDescent="0.25">
      <c r="A13" s="14" t="s">
        <v>126</v>
      </c>
      <c r="B13" s="14">
        <v>162</v>
      </c>
      <c r="C13" s="14">
        <v>4</v>
      </c>
      <c r="D13" s="14">
        <v>0</v>
      </c>
      <c r="E13" s="14">
        <v>0</v>
      </c>
      <c r="F13" s="14">
        <f>SUM(B13:E13)</f>
        <v>166</v>
      </c>
    </row>
    <row r="14" spans="1:16" x14ac:dyDescent="0.25">
      <c r="A14" s="14" t="s">
        <v>127</v>
      </c>
      <c r="B14" s="14">
        <v>64</v>
      </c>
      <c r="C14" s="14">
        <v>20</v>
      </c>
      <c r="D14" s="14">
        <v>1</v>
      </c>
      <c r="E14" s="14">
        <v>0</v>
      </c>
      <c r="F14" s="14">
        <f>SUM(B14:E14)</f>
        <v>85</v>
      </c>
    </row>
    <row r="15" spans="1:16" x14ac:dyDescent="0.25">
      <c r="A15" s="14" t="s">
        <v>128</v>
      </c>
      <c r="B15" s="14">
        <v>41</v>
      </c>
      <c r="C15" s="14">
        <v>20</v>
      </c>
      <c r="D15" s="14">
        <v>3</v>
      </c>
      <c r="E15" s="14">
        <v>0</v>
      </c>
      <c r="F15" s="14">
        <f>SUM(B15:E15)</f>
        <v>64</v>
      </c>
    </row>
    <row r="16" spans="1:16" x14ac:dyDescent="0.25">
      <c r="A16" s="14" t="s">
        <v>129</v>
      </c>
      <c r="B16" s="14">
        <v>2</v>
      </c>
      <c r="C16" s="14">
        <v>1</v>
      </c>
      <c r="D16" s="14">
        <v>0</v>
      </c>
      <c r="E16" s="14">
        <v>1</v>
      </c>
      <c r="F16" s="14">
        <f>SUM(B16:E16)</f>
        <v>4</v>
      </c>
    </row>
    <row r="17" spans="1:6" x14ac:dyDescent="0.25">
      <c r="A17" s="16" t="s">
        <v>102</v>
      </c>
      <c r="B17" s="16">
        <f>SUM(B13:B16)</f>
        <v>269</v>
      </c>
      <c r="C17" s="16">
        <f>SUM(C13:C16)</f>
        <v>45</v>
      </c>
      <c r="D17" s="16">
        <f>SUM(D13:D16)</f>
        <v>4</v>
      </c>
      <c r="E17" s="16">
        <f>SUM(E13:E16)</f>
        <v>1</v>
      </c>
      <c r="F17" s="16">
        <f>SUM(F13:F16)</f>
        <v>319</v>
      </c>
    </row>
    <row r="25" spans="1:6" ht="14.4" x14ac:dyDescent="0.25">
      <c r="B25" s="19" t="s">
        <v>136</v>
      </c>
      <c r="C25" s="19" t="s">
        <v>137</v>
      </c>
      <c r="D25" s="19" t="s">
        <v>138</v>
      </c>
      <c r="E25" s="19" t="s">
        <v>139</v>
      </c>
    </row>
    <row r="26" spans="1:6" ht="14.4" x14ac:dyDescent="0.25">
      <c r="A26" s="21" t="s">
        <v>146</v>
      </c>
      <c r="B26" s="19">
        <v>1376</v>
      </c>
      <c r="C26" s="19">
        <v>1171</v>
      </c>
      <c r="D26" s="19">
        <v>973</v>
      </c>
      <c r="E26" s="19">
        <v>54</v>
      </c>
    </row>
    <row r="27" spans="1:6" ht="14.4" x14ac:dyDescent="0.25">
      <c r="A27" s="21" t="s">
        <v>142</v>
      </c>
      <c r="B27" s="19">
        <v>29</v>
      </c>
      <c r="C27" s="19">
        <v>14</v>
      </c>
      <c r="D27" s="19">
        <v>24</v>
      </c>
      <c r="E27" s="19">
        <v>4</v>
      </c>
    </row>
    <row r="28" spans="1:6" ht="14.4" x14ac:dyDescent="0.25">
      <c r="A28" s="21" t="s">
        <v>141</v>
      </c>
      <c r="B28" s="19">
        <v>0</v>
      </c>
      <c r="C28" s="19">
        <v>1</v>
      </c>
      <c r="D28" s="19">
        <v>2</v>
      </c>
      <c r="E28" s="19">
        <v>1</v>
      </c>
    </row>
    <row r="29" spans="1:6" ht="14.4" x14ac:dyDescent="0.25">
      <c r="A29" s="21" t="s">
        <v>140</v>
      </c>
      <c r="B29" s="19">
        <v>1</v>
      </c>
      <c r="C29" s="19">
        <v>0</v>
      </c>
      <c r="D29" s="19">
        <v>1</v>
      </c>
      <c r="E29" s="19">
        <v>1</v>
      </c>
    </row>
    <row r="31" spans="1:6" ht="14.4" x14ac:dyDescent="0.25">
      <c r="B31" s="19" t="s">
        <v>136</v>
      </c>
      <c r="C31" s="19" t="s">
        <v>137</v>
      </c>
      <c r="D31" s="19" t="s">
        <v>138</v>
      </c>
      <c r="E31" s="19" t="s">
        <v>139</v>
      </c>
    </row>
    <row r="32" spans="1:6" ht="14.4" x14ac:dyDescent="0.25">
      <c r="A32" s="21" t="s">
        <v>146</v>
      </c>
      <c r="B32" s="19">
        <v>162</v>
      </c>
      <c r="C32" s="19">
        <v>64</v>
      </c>
      <c r="D32" s="19">
        <v>41</v>
      </c>
      <c r="E32" s="19">
        <v>2</v>
      </c>
    </row>
    <row r="33" spans="1:5" ht="14.4" x14ac:dyDescent="0.25">
      <c r="A33" s="21" t="s">
        <v>142</v>
      </c>
      <c r="B33" s="19">
        <v>4</v>
      </c>
      <c r="C33" s="19">
        <v>20</v>
      </c>
      <c r="D33" s="19">
        <v>20</v>
      </c>
      <c r="E33" s="19">
        <v>1</v>
      </c>
    </row>
    <row r="34" spans="1:5" ht="14.4" x14ac:dyDescent="0.25">
      <c r="A34" s="21" t="s">
        <v>141</v>
      </c>
      <c r="B34" s="19">
        <v>0</v>
      </c>
      <c r="C34" s="19">
        <v>1</v>
      </c>
      <c r="D34" s="19">
        <v>3</v>
      </c>
      <c r="E34" s="19">
        <v>0</v>
      </c>
    </row>
    <row r="35" spans="1:5" ht="14.4" x14ac:dyDescent="0.25">
      <c r="A35" s="21" t="s">
        <v>140</v>
      </c>
      <c r="B35" s="19">
        <v>0</v>
      </c>
      <c r="C35" s="19">
        <v>0</v>
      </c>
      <c r="D35" s="19">
        <v>0</v>
      </c>
      <c r="E35" s="19">
        <v>1</v>
      </c>
    </row>
    <row r="37" spans="1:5" ht="14.4" x14ac:dyDescent="0.25">
      <c r="B37" s="21" t="s">
        <v>153</v>
      </c>
      <c r="C37" s="21" t="s">
        <v>154</v>
      </c>
      <c r="D37" s="21" t="s">
        <v>158</v>
      </c>
    </row>
    <row r="38" spans="1:5" ht="14.4" x14ac:dyDescent="0.25">
      <c r="A38" s="21" t="s">
        <v>155</v>
      </c>
      <c r="B38" s="19">
        <v>3574</v>
      </c>
      <c r="C38" s="19">
        <v>269</v>
      </c>
      <c r="D38" s="19">
        <f>SUM(B38:C38)</f>
        <v>3843</v>
      </c>
    </row>
    <row r="39" spans="1:5" ht="14.4" x14ac:dyDescent="0.25">
      <c r="A39" s="21" t="s">
        <v>62</v>
      </c>
      <c r="B39" s="19">
        <v>71</v>
      </c>
      <c r="C39" s="19">
        <v>45</v>
      </c>
      <c r="D39" s="19">
        <f>SUM(B39:C39)</f>
        <v>116</v>
      </c>
    </row>
    <row r="40" spans="1:5" ht="14.4" x14ac:dyDescent="0.25">
      <c r="A40" s="21" t="s">
        <v>63</v>
      </c>
      <c r="B40" s="19">
        <v>4</v>
      </c>
      <c r="C40" s="19">
        <v>4</v>
      </c>
      <c r="D40" s="19">
        <f>SUM(B40:C40)</f>
        <v>8</v>
      </c>
    </row>
    <row r="41" spans="1:5" ht="14.4" x14ac:dyDescent="0.25">
      <c r="A41" s="21" t="s">
        <v>156</v>
      </c>
      <c r="B41" s="19">
        <v>3</v>
      </c>
      <c r="C41" s="19">
        <v>1</v>
      </c>
      <c r="D41" s="19">
        <f>SUM(B41:C41)</f>
        <v>4</v>
      </c>
    </row>
    <row r="43" spans="1:5" x14ac:dyDescent="0.25">
      <c r="B43" s="19" t="s">
        <v>157</v>
      </c>
    </row>
    <row r="44" spans="1:5" ht="14.4" x14ac:dyDescent="0.25">
      <c r="A44" s="21" t="s">
        <v>155</v>
      </c>
      <c r="B44" s="19">
        <v>3843</v>
      </c>
    </row>
    <row r="45" spans="1:5" ht="14.4" x14ac:dyDescent="0.25">
      <c r="A45" s="21" t="s">
        <v>62</v>
      </c>
      <c r="B45" s="19">
        <v>116</v>
      </c>
    </row>
    <row r="46" spans="1:5" ht="14.4" x14ac:dyDescent="0.25">
      <c r="A46" s="21" t="s">
        <v>63</v>
      </c>
      <c r="B46" s="19">
        <v>8</v>
      </c>
    </row>
    <row r="47" spans="1:5" ht="14.4" x14ac:dyDescent="0.25">
      <c r="A47" s="21" t="s">
        <v>156</v>
      </c>
      <c r="B47" s="19">
        <v>4</v>
      </c>
    </row>
  </sheetData>
  <mergeCells count="4">
    <mergeCell ref="B1:F1"/>
    <mergeCell ref="B11:F11"/>
    <mergeCell ref="A1:A2"/>
    <mergeCell ref="A11:A12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EF04-6444-4AAD-863B-FF514A503326}">
  <dimension ref="A1:F34"/>
  <sheetViews>
    <sheetView workbookViewId="0">
      <selection activeCell="E7" sqref="E7"/>
    </sheetView>
  </sheetViews>
  <sheetFormatPr defaultRowHeight="13.8" x14ac:dyDescent="0.25"/>
  <cols>
    <col min="1" max="1" width="16.6640625" bestFit="1" customWidth="1"/>
    <col min="2" max="2" width="11.77734375" customWidth="1"/>
  </cols>
  <sheetData>
    <row r="1" spans="1:6" x14ac:dyDescent="0.25">
      <c r="A1" s="28" t="s">
        <v>147</v>
      </c>
      <c r="B1" s="28" t="s">
        <v>130</v>
      </c>
      <c r="C1" s="28"/>
      <c r="D1" s="28"/>
      <c r="E1" s="28"/>
      <c r="F1" s="28"/>
    </row>
    <row r="2" spans="1:6" ht="55.2" x14ac:dyDescent="0.25">
      <c r="A2" s="29"/>
      <c r="B2" s="22" t="s">
        <v>143</v>
      </c>
      <c r="C2" s="22" t="s">
        <v>144</v>
      </c>
      <c r="D2" s="22" t="s">
        <v>145</v>
      </c>
      <c r="E2" s="20" t="s">
        <v>123</v>
      </c>
      <c r="F2" s="20" t="s">
        <v>102</v>
      </c>
    </row>
    <row r="3" spans="1:6" x14ac:dyDescent="0.25">
      <c r="A3" s="19" t="s">
        <v>152</v>
      </c>
      <c r="B3" s="19">
        <v>1</v>
      </c>
      <c r="C3" s="19">
        <v>1</v>
      </c>
      <c r="D3" s="19">
        <v>0</v>
      </c>
      <c r="E3" s="19">
        <v>0</v>
      </c>
      <c r="F3" s="19">
        <f>SUM(B3:E3)</f>
        <v>2</v>
      </c>
    </row>
    <row r="4" spans="1:6" x14ac:dyDescent="0.25">
      <c r="A4" s="19" t="s">
        <v>148</v>
      </c>
      <c r="B4" s="19">
        <v>23</v>
      </c>
      <c r="C4" s="19">
        <v>21</v>
      </c>
      <c r="D4" s="19">
        <v>2</v>
      </c>
      <c r="E4" s="19">
        <v>0</v>
      </c>
      <c r="F4" s="19">
        <f>SUM(B4:E4)</f>
        <v>46</v>
      </c>
    </row>
    <row r="5" spans="1:6" x14ac:dyDescent="0.25">
      <c r="A5" s="19" t="s">
        <v>151</v>
      </c>
      <c r="B5" s="19">
        <v>0</v>
      </c>
      <c r="C5" s="19">
        <v>3</v>
      </c>
      <c r="D5" s="19">
        <v>0</v>
      </c>
      <c r="E5" s="19">
        <v>2</v>
      </c>
      <c r="F5" s="19">
        <f>SUM(B5:E5)</f>
        <v>5</v>
      </c>
    </row>
    <row r="6" spans="1:6" x14ac:dyDescent="0.25">
      <c r="A6" s="19" t="s">
        <v>45</v>
      </c>
      <c r="B6" s="19">
        <v>3550</v>
      </c>
      <c r="C6" s="19">
        <v>46</v>
      </c>
      <c r="D6" s="19">
        <v>2</v>
      </c>
      <c r="E6" s="19">
        <v>1</v>
      </c>
      <c r="F6" s="19">
        <f>SUM(B6:E6)</f>
        <v>3599</v>
      </c>
    </row>
    <row r="7" spans="1:6" x14ac:dyDescent="0.25">
      <c r="A7" s="20" t="s">
        <v>102</v>
      </c>
      <c r="B7" s="20">
        <f>SUM(B3:B6)</f>
        <v>3574</v>
      </c>
      <c r="C7" s="20">
        <f>SUM(C3:C6)</f>
        <v>71</v>
      </c>
      <c r="D7" s="20">
        <f>SUM(D3:D6)</f>
        <v>4</v>
      </c>
      <c r="E7" s="20">
        <f>SUM(E3:E6)</f>
        <v>3</v>
      </c>
      <c r="F7" s="20">
        <f>SUM(F3:F6)</f>
        <v>3652</v>
      </c>
    </row>
    <row r="8" spans="1:6" x14ac:dyDescent="0.25">
      <c r="A8" s="19"/>
      <c r="B8" s="19"/>
      <c r="C8" s="19"/>
      <c r="D8" s="19"/>
      <c r="E8" s="19"/>
      <c r="F8" s="19"/>
    </row>
    <row r="9" spans="1:6" x14ac:dyDescent="0.25">
      <c r="A9" s="19"/>
      <c r="B9" s="19"/>
      <c r="C9" s="19"/>
      <c r="D9" s="19"/>
      <c r="E9" s="19"/>
      <c r="F9" s="19"/>
    </row>
    <row r="10" spans="1:6" x14ac:dyDescent="0.25">
      <c r="A10" s="19"/>
      <c r="B10" s="19"/>
      <c r="C10" s="19"/>
      <c r="D10" s="19"/>
      <c r="E10" s="19"/>
      <c r="F10" s="19"/>
    </row>
    <row r="11" spans="1:6" x14ac:dyDescent="0.25">
      <c r="A11" s="28" t="s">
        <v>147</v>
      </c>
      <c r="B11" s="28" t="s">
        <v>131</v>
      </c>
      <c r="C11" s="28"/>
      <c r="D11" s="28"/>
      <c r="E11" s="28"/>
      <c r="F11" s="28"/>
    </row>
    <row r="12" spans="1:6" ht="55.2" x14ac:dyDescent="0.25">
      <c r="A12" s="29"/>
      <c r="B12" s="22" t="s">
        <v>143</v>
      </c>
      <c r="C12" s="22" t="s">
        <v>144</v>
      </c>
      <c r="D12" s="22" t="s">
        <v>145</v>
      </c>
      <c r="E12" s="20" t="s">
        <v>123</v>
      </c>
      <c r="F12" s="20" t="s">
        <v>102</v>
      </c>
    </row>
    <row r="13" spans="1:6" x14ac:dyDescent="0.25">
      <c r="A13" s="19" t="s">
        <v>150</v>
      </c>
      <c r="B13" s="19">
        <v>3</v>
      </c>
      <c r="C13" s="19">
        <v>16</v>
      </c>
      <c r="D13" s="19">
        <v>1</v>
      </c>
      <c r="E13" s="19">
        <v>0</v>
      </c>
      <c r="F13" s="19">
        <f>SUM(B13:E13)</f>
        <v>20</v>
      </c>
    </row>
    <row r="14" spans="1:6" x14ac:dyDescent="0.25">
      <c r="A14" s="19" t="s">
        <v>149</v>
      </c>
      <c r="B14" s="19">
        <v>2</v>
      </c>
      <c r="C14" s="19">
        <v>1</v>
      </c>
      <c r="D14" s="19">
        <v>1</v>
      </c>
      <c r="E14" s="19">
        <v>0</v>
      </c>
      <c r="F14" s="19">
        <f>SUM(B14:E14)</f>
        <v>4</v>
      </c>
    </row>
    <row r="15" spans="1:6" x14ac:dyDescent="0.25">
      <c r="A15" s="19" t="s">
        <v>46</v>
      </c>
      <c r="B15" s="19">
        <v>0</v>
      </c>
      <c r="C15" s="19">
        <v>10</v>
      </c>
      <c r="D15" s="19">
        <v>2</v>
      </c>
      <c r="E15" s="19">
        <v>1</v>
      </c>
      <c r="F15" s="19">
        <f>SUM(B15:E15)</f>
        <v>13</v>
      </c>
    </row>
    <row r="16" spans="1:6" x14ac:dyDescent="0.25">
      <c r="A16" s="19" t="s">
        <v>45</v>
      </c>
      <c r="B16" s="19">
        <v>249</v>
      </c>
      <c r="C16" s="19">
        <v>2</v>
      </c>
      <c r="D16" s="19">
        <v>0</v>
      </c>
      <c r="E16" s="19">
        <v>0</v>
      </c>
      <c r="F16" s="19">
        <f>SUM(B16:E16)</f>
        <v>251</v>
      </c>
    </row>
    <row r="17" spans="1:6" x14ac:dyDescent="0.25">
      <c r="A17" s="19" t="s">
        <v>48</v>
      </c>
      <c r="B17" s="19">
        <v>15</v>
      </c>
      <c r="C17" s="19">
        <v>16</v>
      </c>
      <c r="D17" s="19">
        <v>0</v>
      </c>
      <c r="E17" s="19">
        <v>0</v>
      </c>
      <c r="F17" s="19">
        <f>SUM(B17:E17)</f>
        <v>31</v>
      </c>
    </row>
    <row r="18" spans="1:6" x14ac:dyDescent="0.25">
      <c r="A18" s="20" t="s">
        <v>102</v>
      </c>
      <c r="B18" s="20">
        <f>SUM(B13:B17)</f>
        <v>269</v>
      </c>
      <c r="C18" s="20">
        <f>SUM(C13:C17)</f>
        <v>45</v>
      </c>
      <c r="D18" s="20">
        <f>SUM(D13:D17)</f>
        <v>4</v>
      </c>
      <c r="E18" s="20">
        <f>SUM(E13:E17)</f>
        <v>1</v>
      </c>
      <c r="F18" s="20">
        <f>SUM(F13:F17)</f>
        <v>319</v>
      </c>
    </row>
    <row r="23" spans="1:6" ht="27.6" x14ac:dyDescent="0.25">
      <c r="B23" s="23" t="s">
        <v>152</v>
      </c>
      <c r="C23" s="23" t="s">
        <v>148</v>
      </c>
      <c r="D23" s="19" t="s">
        <v>151</v>
      </c>
      <c r="E23" s="19" t="s">
        <v>45</v>
      </c>
    </row>
    <row r="24" spans="1:6" ht="14.4" x14ac:dyDescent="0.25">
      <c r="A24" s="21" t="s">
        <v>146</v>
      </c>
      <c r="B24">
        <v>1</v>
      </c>
      <c r="C24">
        <v>23</v>
      </c>
      <c r="D24">
        <v>0</v>
      </c>
      <c r="E24">
        <v>3550</v>
      </c>
    </row>
    <row r="25" spans="1:6" ht="14.4" x14ac:dyDescent="0.25">
      <c r="A25" s="21" t="s">
        <v>142</v>
      </c>
      <c r="B25">
        <v>1</v>
      </c>
      <c r="C25">
        <v>21</v>
      </c>
      <c r="D25">
        <v>3</v>
      </c>
      <c r="E25">
        <v>46</v>
      </c>
    </row>
    <row r="26" spans="1:6" ht="14.4" x14ac:dyDescent="0.25">
      <c r="A26" s="21" t="s">
        <v>141</v>
      </c>
      <c r="B26">
        <v>0</v>
      </c>
      <c r="C26">
        <v>2</v>
      </c>
      <c r="D26">
        <v>0</v>
      </c>
      <c r="E26">
        <v>2</v>
      </c>
    </row>
    <row r="27" spans="1:6" ht="14.4" x14ac:dyDescent="0.25">
      <c r="A27" s="21" t="s">
        <v>140</v>
      </c>
      <c r="B27">
        <v>0</v>
      </c>
      <c r="C27">
        <v>0</v>
      </c>
      <c r="D27">
        <v>2</v>
      </c>
      <c r="E27">
        <v>1</v>
      </c>
    </row>
    <row r="30" spans="1:6" ht="41.4" x14ac:dyDescent="0.25">
      <c r="B30" s="23" t="s">
        <v>150</v>
      </c>
      <c r="C30" s="23" t="s">
        <v>149</v>
      </c>
      <c r="D30" s="19" t="s">
        <v>46</v>
      </c>
      <c r="E30" s="19" t="s">
        <v>45</v>
      </c>
      <c r="F30" s="19" t="s">
        <v>48</v>
      </c>
    </row>
    <row r="31" spans="1:6" ht="14.4" x14ac:dyDescent="0.25">
      <c r="A31" s="21" t="s">
        <v>146</v>
      </c>
      <c r="B31">
        <v>3</v>
      </c>
      <c r="C31">
        <v>2</v>
      </c>
      <c r="D31">
        <v>0</v>
      </c>
      <c r="E31">
        <v>249</v>
      </c>
      <c r="F31">
        <v>15</v>
      </c>
    </row>
    <row r="32" spans="1:6" ht="14.4" x14ac:dyDescent="0.25">
      <c r="A32" s="21" t="s">
        <v>142</v>
      </c>
      <c r="B32">
        <v>16</v>
      </c>
      <c r="C32">
        <v>1</v>
      </c>
      <c r="D32">
        <v>10</v>
      </c>
      <c r="E32">
        <v>2</v>
      </c>
      <c r="F32">
        <v>16</v>
      </c>
    </row>
    <row r="33" spans="1:6" ht="14.4" x14ac:dyDescent="0.25">
      <c r="A33" s="21" t="s">
        <v>141</v>
      </c>
      <c r="B33">
        <v>1</v>
      </c>
      <c r="C33">
        <v>1</v>
      </c>
      <c r="D33">
        <v>2</v>
      </c>
      <c r="E33">
        <v>0</v>
      </c>
      <c r="F33">
        <v>0</v>
      </c>
    </row>
    <row r="34" spans="1:6" ht="14.4" x14ac:dyDescent="0.25">
      <c r="A34" s="21" t="s">
        <v>140</v>
      </c>
      <c r="B34">
        <v>0</v>
      </c>
      <c r="C34">
        <v>0</v>
      </c>
      <c r="D34">
        <v>1</v>
      </c>
      <c r="E34">
        <v>0</v>
      </c>
      <c r="F34">
        <v>0</v>
      </c>
    </row>
  </sheetData>
  <mergeCells count="4">
    <mergeCell ref="A1:A2"/>
    <mergeCell ref="B1:F1"/>
    <mergeCell ref="A11:A12"/>
    <mergeCell ref="B11:F11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台站</vt:lpstr>
      <vt:lpstr>Sheet1</vt:lpstr>
      <vt:lpstr>AVA</vt:lpstr>
      <vt:lpstr>Sheet2</vt:lpstr>
      <vt:lpstr>跨断层线路</vt:lpstr>
      <vt:lpstr>各烈度区线路</vt:lpstr>
      <vt:lpstr>各烈度区桥梁震害分布</vt:lpstr>
      <vt:lpstr>桥梁类型震害统计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HuangYong</dc:creator>
  <cp:lastModifiedBy>桦 何</cp:lastModifiedBy>
  <dcterms:created xsi:type="dcterms:W3CDTF">2025-07-18T02:19:21Z</dcterms:created>
  <dcterms:modified xsi:type="dcterms:W3CDTF">2026-01-21T13:41:03Z</dcterms:modified>
</cp:coreProperties>
</file>